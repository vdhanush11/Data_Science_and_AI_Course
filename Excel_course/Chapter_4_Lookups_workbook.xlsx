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FD3B4369-14DA-4D23-9801-0839B072F22E}" xr6:coauthVersionLast="47" xr6:coauthVersionMax="47" xr10:uidLastSave="{00000000-0000-0000-0000-000000000000}"/>
  <bookViews>
    <workbookView xWindow="-108" yWindow="-108" windowWidth="23256" windowHeight="12456" activeTab="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 a="1"/>
  <c r="J3" i="9" s="1"/>
  <c r="I3" i="11"/>
  <c r="I3" i="6" a="1"/>
  <c r="I3" i="6" s="1"/>
  <c r="I8" i="12"/>
  <c r="I4" i="5"/>
  <c r="C9" i="4"/>
  <c r="I3" i="1"/>
  <c r="E6" i="5"/>
  <c r="E7" i="5"/>
  <c r="E8" i="5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5" i="5"/>
  <c r="E4" i="5"/>
  <c r="B4" i="5"/>
  <c r="B5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5" l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5" i="12"/>
  <c r="B6" i="12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B7" i="12" l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<sst xmlns="http://schemas.openxmlformats.org/spreadsheetml/2006/main" count="207" uniqueCount="48">
  <si>
    <t xml:space="preserve"> </t>
  </si>
  <si>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</si>
  <si>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</si>
  <si>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</si>
  <si>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</si>
  <si>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</si>
  <si>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</si>
  <si>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</si>
  <si>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</si>
  <si>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</si>
  <si>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</si>
  <si>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</si>
  <si>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</si>
  <si>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</si>
  <si>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</si>
  <si>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</si>
  <si>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</si>
  <si>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</si>
  <si>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</si>
  <si>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</si>
  <si>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</si>
  <si>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</si>
  <si>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</si>
  <si>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</si>
  <si>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</si>
  <si>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</si>
  <si>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</si>
  <si>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</si>
  <si>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Xlookup</t>
  </si>
  <si>
    <t>Company</t>
  </si>
  <si>
    <t>Name</t>
  </si>
  <si>
    <t>Coca-Cola Inc.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</si>
  <si>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</si>
  <si>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</si>
  <si>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</si>
  <si>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</si>
  <si>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</si>
  <si>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</si>
  <si>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</si>
  <si>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</si>
  <si>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</si>
  <si>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</si>
  <si>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</si>
  <si>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</si>
  <si>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</si>
  <si>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</si>
  <si>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Dhanush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</si>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</sst>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3" fillId="4" borderId="0" xfId="0" applyFont="1" applyFill="1"/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5" borderId="0" xfId="0" applyNumberFormat="1" applyFill="1"/>
    <xf numFmtId="0" fontId="0" fillId="5" borderId="0" xfId="0" applyFill="1"/>
    <xf numFmtId="164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 wrapText="1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zoomScale="99" workbookViewId="0">
      <selection activeCell="I3" sqref="I3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5</v>
      </c>
    </row>
    <row r="3" spans="1:9" x14ac:dyDescent="0.3">
      <c r="B3" t="s">
        <v>6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10</v>
      </c>
      <c r="I3" s="17">
        <f>VLOOKUP(H3,B3:F24,5)</f>
        <v>1836.3489573225595</v>
      </c>
    </row>
    <row r="4" spans="1:9" x14ac:dyDescent="0.3">
      <c r="B4" t="s">
        <v>7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3">
      <c r="B5" t="s">
        <v>8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3">
      <c r="B6" t="s">
        <v>9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10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11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12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13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14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15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16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17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18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19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20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21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22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23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24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25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26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27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C9" sqref="C9"/>
    </sheetView>
  </sheetViews>
  <sheetFormatPr defaultColWidth="10.59765625" defaultRowHeight="15.6" x14ac:dyDescent="0.3"/>
  <cols>
    <col min="2" max="2" width="11.59765625" bestFit="1" customWidth="1"/>
    <col min="3" max="3" width="12.69921875" bestFit="1" customWidth="1"/>
    <col min="4" max="5" width="10.296875" bestFit="1" customWidth="1"/>
    <col min="6" max="6" width="15.5" bestFit="1" customWidth="1"/>
    <col min="7" max="7" width="10.09765625" bestFit="1" customWidth="1"/>
    <col min="8" max="8" width="12.19921875" bestFit="1" customWidth="1"/>
    <col min="9" max="9" width="12.3984375" bestFit="1" customWidth="1"/>
    <col min="10" max="10" width="14.5" bestFit="1" customWidth="1"/>
    <col min="11" max="11" width="11.09765625" bestFit="1" customWidth="1"/>
    <col min="12" max="12" width="13.69921875" bestFit="1" customWidth="1"/>
    <col min="13" max="13" width="10.8984375" bestFit="1" customWidth="1"/>
    <col min="14" max="14" width="11.09765625" bestFit="1" customWidth="1"/>
    <col min="15" max="15" width="13.8984375" bestFit="1" customWidth="1"/>
    <col min="16" max="16" width="12.5" bestFit="1" customWidth="1"/>
    <col min="17" max="17" width="12" bestFit="1" customWidth="1"/>
    <col min="18" max="18" width="13.59765625" bestFit="1" customWidth="1"/>
    <col min="19" max="19" width="12.796875" bestFit="1" customWidth="1"/>
    <col min="20" max="20" width="10.09765625" bestFit="1" customWidth="1"/>
    <col min="21" max="21" width="12.5" bestFit="1" customWidth="1"/>
    <col min="22" max="22" width="14.3984375" bestFit="1" customWidth="1"/>
    <col min="23" max="23" width="14.69921875" bestFit="1" customWidth="1"/>
    <col min="24" max="24" width="10.09765625" bestFit="1" customWidth="1"/>
  </cols>
  <sheetData>
    <row r="2" spans="2:24" x14ac:dyDescent="0.3">
      <c r="B2" s="9" t="s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</row>
    <row r="3" spans="2:24" x14ac:dyDescent="0.3">
      <c r="B3" s="9" t="s">
        <v>2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3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4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5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5</v>
      </c>
    </row>
    <row r="9" spans="2:24" x14ac:dyDescent="0.3">
      <c r="B9" t="s">
        <v>7</v>
      </c>
      <c r="C9" s="17">
        <f>HLOOKUP(B9,C2:X6,5)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I4" sqref="I4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8" max="8" width="14.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ht="15.6" customHeight="1" x14ac:dyDescent="0.3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5" t="s">
        <v>28</v>
      </c>
      <c r="I2" s="15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5" t="s">
        <v>1</v>
      </c>
      <c r="I3" s="5" t="s">
        <v>5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H4" t="s">
        <v>10</v>
      </c>
      <c r="I4" s="17">
        <f>_xlfn.XLOOKUP(H4,F3:F24,E3:E24,"value not found",0)</f>
        <v>1836.3489573225595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ht="15.6" customHeight="1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6"/>
      <c r="I6" s="16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14"/>
      <c r="I7" s="14"/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I8" s="2"/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I8" sqref="I8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8" max="8" width="12.19921875" bestFit="1" customWidth="1"/>
    <col min="9" max="9" width="17.5976562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6"/>
      <c r="I2" s="16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14"/>
      <c r="I3" s="14"/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I4" s="2"/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5" t="s">
        <v>28</v>
      </c>
      <c r="I6" s="15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5" t="s">
        <v>1</v>
      </c>
      <c r="I7" s="5" t="s">
        <v>5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H8" t="s">
        <v>46</v>
      </c>
      <c r="I8" s="17" t="str">
        <f>_xlfn.XLOOKUP(H8,F3:F24,E3:E24,"value not found",0)</f>
        <v>value not found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topLeftCell="B1" workbookViewId="0">
      <selection activeCell="I9" sqref="I9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8" max="8" width="11.8984375" bestFit="1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4</v>
      </c>
      <c r="J2" s="8" t="s">
        <v>5</v>
      </c>
    </row>
    <row r="3" spans="1:10" x14ac:dyDescent="0.3">
      <c r="B3" t="s">
        <v>6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10</v>
      </c>
      <c r="I3" s="18" cm="1">
        <f t="array" ref="I3:J3">_xlfn.XLOOKUP(H3,B3:B24,E3:F24)</f>
        <v>9181.7447866127968</v>
      </c>
      <c r="J3" s="17">
        <v>1836.3489573225595</v>
      </c>
    </row>
    <row r="4" spans="1:10" x14ac:dyDescent="0.3">
      <c r="B4" t="s">
        <v>7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3">
      <c r="B5" t="s">
        <v>8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3">
      <c r="B6" t="s">
        <v>9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3">
      <c r="B7" t="s">
        <v>10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3">
      <c r="B8" t="s">
        <v>11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3">
      <c r="B9" t="s">
        <v>12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3">
      <c r="B10" t="s">
        <v>13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3">
      <c r="B11" t="s">
        <v>14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3">
      <c r="B12" t="s">
        <v>15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3">
      <c r="B13" t="s">
        <v>16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3">
      <c r="B14" t="s">
        <v>17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3">
      <c r="B15" t="s">
        <v>18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3">
      <c r="B16" t="s">
        <v>19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20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21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22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23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24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25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26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27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I3" sqref="I3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29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30</v>
      </c>
      <c r="I2" s="8" t="s">
        <v>4</v>
      </c>
    </row>
    <row r="3" spans="1:9" x14ac:dyDescent="0.3">
      <c r="B3" s="11" t="s">
        <v>31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47</v>
      </c>
      <c r="I3" s="19">
        <f>_xlfn.XLOOKUP(H3&amp;"*",B3:B14,E3:E14,"value not found",2)</f>
        <v>8054.1620935199981</v>
      </c>
    </row>
    <row r="4" spans="1:9" x14ac:dyDescent="0.3">
      <c r="B4" s="11" t="s">
        <v>32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33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34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35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36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37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38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39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40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41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42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tabSelected="1" workbookViewId="0">
      <selection activeCell="J3" sqref="J3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36" bestFit="1" customWidth="1"/>
  </cols>
  <sheetData>
    <row r="1" spans="1:10" x14ac:dyDescent="0.3">
      <c r="A1" t="s">
        <v>0</v>
      </c>
    </row>
    <row r="2" spans="1:10" x14ac:dyDescent="0.3">
      <c r="B2" s="15" t="s">
        <v>43</v>
      </c>
      <c r="C2" s="15"/>
      <c r="D2" s="15"/>
      <c r="E2" s="15"/>
      <c r="F2" s="15"/>
      <c r="H2" s="8" t="s">
        <v>1</v>
      </c>
      <c r="I2" s="8" t="s">
        <v>44</v>
      </c>
      <c r="J2" s="8" t="s">
        <v>5</v>
      </c>
    </row>
    <row r="3" spans="1:10" x14ac:dyDescent="0.3">
      <c r="B3" s="12" t="s">
        <v>45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7</v>
      </c>
      <c r="I3" s="4">
        <v>2020</v>
      </c>
      <c r="J3" s="20" cm="1">
        <f t="array" ref="J3">_xlfn.XLOOKUP(H3,B4:B25,_xlfn.XLOOKUP(I3,C3:F3,C4:F25))</f>
        <v>1425.405726</v>
      </c>
    </row>
    <row r="4" spans="1:10" x14ac:dyDescent="0.3">
      <c r="B4" s="11" t="s">
        <v>6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0" x14ac:dyDescent="0.3">
      <c r="B5" s="11" t="s">
        <v>7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3">
      <c r="B6" s="11" t="s">
        <v>8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3">
      <c r="B7" s="11" t="s">
        <v>9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3">
      <c r="B8" s="11" t="s">
        <v>10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3">
      <c r="B9" s="11" t="s">
        <v>11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3">
      <c r="B10" s="11" t="s">
        <v>12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3">
      <c r="B11" s="11" t="s">
        <v>13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3">
      <c r="B12" s="11" t="s">
        <v>14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3">
      <c r="B13" s="11" t="s">
        <v>15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3">
      <c r="B14" s="11" t="s">
        <v>16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3">
      <c r="B15" s="11" t="s">
        <v>17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3">
      <c r="B16" s="11" t="s">
        <v>18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19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20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21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22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23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24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25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26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27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Hlookup</vt:lpstr>
      <vt:lpstr>Xlookup</vt:lpstr>
      <vt:lpstr>Xlookup 2</vt:lpstr>
      <vt:lpstr>Xlookup 3</vt:lpstr>
      <vt:lpstr>Xlookup 4</vt:lpstr>
      <vt:lpstr>Xlookup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Dhanush V</cp:lastModifiedBy>
  <cp:revision/>
  <dcterms:created xsi:type="dcterms:W3CDTF">2022-08-01T09:40:24Z</dcterms:created>
  <dcterms:modified xsi:type="dcterms:W3CDTF">2026-07-02T03:26:58Z</dcterms:modified>
  <cp:category/>
  <cp:contentStatus/>
</cp:coreProperties>
</file>