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science &amp; AI course\Excel_course\"/>
    </mc:Choice>
  </mc:AlternateContent>
  <xr:revisionPtr revIDLastSave="0" documentId="13_ncr:1_{14180F71-12E1-4525-BD2B-ADB5078103E7}" xr6:coauthVersionLast="47" xr6:coauthVersionMax="47" xr10:uidLastSave="{00000000-0000-0000-0000-000000000000}"/>
  <bookViews>
    <workbookView xWindow="-108" yWindow="-108" windowWidth="23256" windowHeight="12456" firstSheet="16" activeTab="21" xr2:uid="{00000000-000D-0000-FFFF-FFFF00000000}"/>
  </bookViews>
  <sheets>
    <sheet name="Basic Typing" sheetId="1" r:id="rId1"/>
    <sheet name="Cells and Ranges" sheetId="2" r:id="rId2"/>
    <sheet name="Basic Calculations and Referenc" sheetId="3" r:id="rId3"/>
    <sheet name="Referencing Detailed" sheetId="4" r:id="rId4"/>
    <sheet name="Arithmatic Operators - SUM" sheetId="5" r:id="rId5"/>
    <sheet name="Arithmatic Operators - MAX" sheetId="6" r:id="rId6"/>
    <sheet name="Arithmatic Operators - MIN" sheetId="7" r:id="rId7"/>
    <sheet name="Arithmatic Operators - COUNT an" sheetId="8" r:id="rId8"/>
    <sheet name="Arithmatic Operators - AVERAGE" sheetId="9" r:id="rId9"/>
    <sheet name="Conditional Operators - IF and " sheetId="10" r:id="rId10"/>
    <sheet name="Conditional - SUMIF, COUNTIF an" sheetId="11" r:id="rId11"/>
    <sheet name="Conditional Operators - SUMIFS," sheetId="12" r:id="rId12"/>
    <sheet name="Logical Operators - ANDOR" sheetId="13" r:id="rId13"/>
    <sheet name="Logical - ISBLANK" sheetId="14" r:id="rId14"/>
    <sheet name="LEFT, MID, RIGHT" sheetId="18" r:id="rId15"/>
    <sheet name="CONCATENATE, TEXT JOIN, CONCAT" sheetId="19" r:id="rId16"/>
    <sheet name="VLOOKUP" sheetId="15" r:id="rId17"/>
    <sheet name="XLOOKUP" sheetId="16" r:id="rId18"/>
    <sheet name="INDEX and MATCH" sheetId="17" r:id="rId19"/>
    <sheet name="SORT and SORTBY" sheetId="20" r:id="rId20"/>
    <sheet name="FILTER" sheetId="21" r:id="rId21"/>
    <sheet name="RANDARRAY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2" l="1" a="1"/>
  <c r="A15" i="22" s="1"/>
  <c r="A6" i="22" a="1"/>
  <c r="A6" i="22" s="1"/>
  <c r="B11" i="21" l="1" a="1"/>
  <c r="B11" i="21" s="1"/>
  <c r="C55" i="20" a="1"/>
  <c r="C55" i="20" s="1"/>
  <c r="H30" i="20" a="1"/>
  <c r="H30" i="20" s="1"/>
  <c r="E30" i="20" a="1"/>
  <c r="E30" i="20" s="1"/>
  <c r="B30" i="20" a="1"/>
  <c r="B30" i="20" s="1"/>
  <c r="B11" i="20" a="1"/>
  <c r="B11" i="20" s="1"/>
  <c r="H14" i="17"/>
  <c r="B24" i="17"/>
  <c r="B10" i="17"/>
  <c r="M17" i="16" a="1"/>
  <c r="M17" i="16" s="1"/>
  <c r="N37" i="16"/>
  <c r="D38" i="16"/>
  <c r="E15" i="16"/>
  <c r="I5" i="15"/>
  <c r="I4" i="15"/>
  <c r="B12" i="15"/>
  <c r="D28" i="19"/>
  <c r="H28" i="19"/>
  <c r="G10" i="19"/>
  <c r="G11" i="19"/>
  <c r="G9" i="19"/>
  <c r="F10" i="19"/>
  <c r="F11" i="19"/>
  <c r="F9" i="19"/>
  <c r="A13" i="18"/>
  <c r="B7" i="18"/>
  <c r="B3" i="18"/>
  <c r="B17" i="14"/>
  <c r="B16" i="14"/>
  <c r="B7" i="14"/>
  <c r="B6" i="14"/>
  <c r="C9" i="13"/>
  <c r="C4" i="13"/>
  <c r="E16" i="5"/>
  <c r="E36" i="12"/>
  <c r="E21" i="12"/>
  <c r="B22" i="11"/>
  <c r="I13" i="11"/>
  <c r="C9" i="11"/>
  <c r="D34" i="10"/>
  <c r="G13" i="10"/>
  <c r="G12" i="10"/>
  <c r="B10" i="9"/>
  <c r="C32" i="8"/>
  <c r="H10" i="8"/>
  <c r="B8" i="8"/>
  <c r="C26" i="7"/>
  <c r="C8" i="7"/>
  <c r="D31" i="6"/>
  <c r="C9" i="6"/>
  <c r="C9" i="5"/>
  <c r="G4" i="4"/>
  <c r="C3" i="4"/>
  <c r="C4" i="4"/>
  <c r="C5" i="4"/>
  <c r="C6" i="4"/>
  <c r="C7" i="4"/>
  <c r="C8" i="4"/>
  <c r="C9" i="4"/>
  <c r="C10" i="4"/>
  <c r="C11" i="4"/>
  <c r="C12" i="4"/>
  <c r="C2" i="4"/>
  <c r="D17" i="3"/>
  <c r="D14" i="3"/>
  <c r="D11" i="3"/>
  <c r="D8" i="3"/>
  <c r="D50" i="16" a="1"/>
  <c r="D50" i="16" s="1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D2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<sst xmlns="http://schemas.openxmlformats.org/spreadsheetml/2006/main" count="630" uniqueCount="393">
  <si>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</si>
  <si>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</si>
  <si>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</si>
  <si>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</si>
  <si>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</si>
  <si>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</si>
  <si>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</si>
  <si>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</si>
  <si>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</si>
  <si>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</si>
  <si>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</si>
  <si>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</si>
  <si>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</si>
  <si>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</si>
  <si>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</si>
  <si>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</si>
  <si>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</si>
  <si>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</si>
  <si>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</si>
  <si>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</si>
  <si>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</si>
  <si>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</si>
  <si>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</si>
  <si>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</si>
  <si>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</si>
  <si>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</si>
  <si>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$10,185.00</t>
  </si>
  <si>
    <t>$11,780.00</t>
  </si>
  <si>
    <t>$15,023.00</t>
  </si>
  <si>
    <t>$19,433.00</t>
  </si>
  <si>
    <t>$12,775.00</t>
  </si>
  <si>
    <t>$17,859.00</t>
  </si>
  <si>
    <t>$11,222.00</t>
  </si>
  <si>
    <t>$10,959.00</t>
  </si>
  <si>
    <t>$15,153.00</t>
  </si>
  <si>
    <t>$16,592.00</t>
  </si>
  <si>
    <t>$15,065.00</t>
  </si>
  <si>
    <t>$13,451.00</t>
  </si>
  <si>
    <t>$13,729.00</t>
  </si>
  <si>
    <t>$16,378.00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</si>
  <si>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</si>
  <si>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</si>
  <si>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</si>
  <si>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</si>
  <si>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</si>
  <si>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</si>
  <si>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</si>
  <si>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</si>
  <si>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</si>
  <si>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</si>
  <si>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</si>
  <si>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</si>
  <si>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$60,001</t>
  </si>
  <si>
    <t>$74,989</t>
  </si>
  <si>
    <t>$90,272</t>
  </si>
  <si>
    <t>Expenses</t>
  </si>
  <si>
    <t>$43,505</t>
  </si>
  <si>
    <t>$55,629</t>
  </si>
  <si>
    <t>$66,556</t>
  </si>
  <si>
    <t>Income</t>
  </si>
  <si>
    <t>$16,496</t>
  </si>
  <si>
    <t>$19,360</t>
  </si>
  <si>
    <t>$23,716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</si>
  <si>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</si>
  <si>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</si>
  <si>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</si>
  <si>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</si>
  <si>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</si>
  <si>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</si>
  <si>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</si>
  <si>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</si>
  <si>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</si>
  <si>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</si>
  <si>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</si>
  <si>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</si>
  <si>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</si>
  <si>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</si>
  <si>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</si>
  <si>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</si>
  <si>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</si>
  <si>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</si>
  <si>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</si>
  <si>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</si>
  <si>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</si>
  <si>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</si>
  <si>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</si>
  <si>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</si>
  <si>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</si>
  <si>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</si>
  <si>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</si>
  <si>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</si>
  <si>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</si>
  <si>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u/>
        <sz val="11"/>
        <color rgb="FF1155CC"/>
        <rFont val="Calibri, sans-serif"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</si>
  <si>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</si>
  <si>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</si>
  <si>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</si>
  <si>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</si>
  <si>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</si>
  <si>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</si>
  <si>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</si>
  <si>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</si>
  <si>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</si>
  <si>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</si>
  <si>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sz val="16"/>
        <color theme="1"/>
        <rFont val="Calibri"/>
      </rPr>
      <t>Grandpa John gives his kids Christmas gifts, but only if they are younger than 18.</t>
    </r>
    <r>
      <rPr>
        <sz val="11"/>
        <color theme="1"/>
        <rFont val="Calibri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</si>
  <si>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</si>
  <si>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</si>
  <si>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</si>
  <si>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</si>
  <si>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</si>
  <si>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</si>
  <si>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</si>
  <si>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</si>
  <si>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</si>
  <si>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</si>
  <si>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</si>
  <si>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</si>
  <si>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</si>
  <si>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</si>
  <si>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</si>
  <si>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</si>
  <si>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</si>
  <si>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</si>
  <si>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</si>
  <si>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</si>
  <si>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</si>
  <si>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</si>
  <si>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</si>
  <si>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</si>
  <si>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</si>
  <si>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</si>
  <si>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</si>
  <si>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</si>
  <si>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</si>
  <si>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</si>
  <si>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</si>
  <si>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</si>
  <si>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</si>
  <si>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</si>
  <si>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</si>
  <si>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</si>
  <si>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</si>
  <si>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</si>
  <si>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</si>
  <si>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</si>
  <si>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</si>
  <si>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</si>
  <si>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</si>
  <si>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</si>
  <si>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</si>
  <si>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</si>
  <si>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</si>
  <si>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</si>
  <si>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</si>
  <si>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u/>
        <sz val="14"/>
        <color rgb="FF1155CC"/>
        <rFont val="Calibri"/>
      </rPr>
      <t>SUMIF</t>
    </r>
    <r>
      <rPr>
        <sz val="14"/>
        <color rgb="FF3A3A3A"/>
        <rFont val="Calibri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</si>
  <si>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</si>
  <si>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</si>
  <si>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</si>
  <si>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</si>
  <si>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</si>
  <si>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</si>
  <si>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</si>
  <si>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</si>
  <si>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</si>
  <si>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</si>
  <si>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</si>
  <si>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</si>
  <si>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</si>
  <si>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</si>
  <si>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</si>
  <si>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</si>
  <si>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</si>
  <si>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</si>
  <si>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</si>
  <si>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</si>
  <si>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</si>
  <si>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</si>
  <si>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</si>
  <si>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</si>
  <si>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</si>
  <si>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</si>
  <si>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</si>
  <si>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</si>
  <si>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</si>
  <si>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</si>
  <si>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</si>
  <si>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</si>
  <si>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</si>
  <si>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</si>
  <si>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</si>
  <si>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</si>
  <si>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</si>
  <si>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</si>
  <si>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</si>
  <si>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</si>
  <si>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</si>
  <si>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</si>
  <si>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</si>
  <si>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</si>
  <si>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</si>
  <si>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</si>
  <si>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</si>
  <si>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</si>
  <si>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</si>
  <si>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</si>
  <si>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</si>
  <si>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</si>
  <si>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</si>
  <si>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</si>
  <si>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</si>
  <si>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</si>
  <si>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</si>
  <si>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</si>
  <si>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</si>
  <si>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</si>
  <si>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</si>
  <si>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</si>
  <si>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</si>
  <si>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</si>
  <si>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</si>
  <si>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</si>
  <si>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</si>
  <si>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</si>
  <si>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</si>
  <si>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</si>
  <si>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</si>
  <si>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</si>
  <si>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</si>
  <si>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</si>
  <si>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</si>
  <si>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</si>
  <si>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</si>
  <si>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</si>
  <si>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</si>
  <si>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</si>
  <si>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</si>
  <si>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</si>
  <si>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</si>
  <si>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</si>
  <si>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</si>
  <si>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</si>
  <si>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</si>
  <si>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</si>
  <si>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</si>
  <si>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</si>
  <si>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</si>
  <si>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</si>
  <si>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</si>
  <si>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</si>
  <si>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</si>
  <si>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</si>
  <si>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</si>
  <si>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</si>
  <si>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</si>
  <si>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</si>
  <si>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</si>
  <si>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</si>
  <si>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</si>
  <si>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</si>
  <si>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</si>
  <si>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</si>
  <si>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</si>
  <si>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</si>
  <si>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</si>
  <si>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</si>
  <si>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</si>
  <si>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</si>
  <si>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</si>
  <si>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</si>
  <si>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</si>
  <si>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</si>
  <si>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</si>
  <si>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</si>
  <si>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</si>
  <si>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</si>
  <si>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</si>
  <si>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</si>
  <si>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</si>
  <si>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</si>
  <si>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</si>
  <si>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</si>
  <si>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</si>
  <si>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</si>
  <si>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</si>
  <si>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</si>
  <si>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</si>
  <si>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</si>
  <si>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</si>
  <si>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</si>
  <si>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</si>
  <si>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</si>
  <si>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</si>
  <si>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</si>
  <si>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</si>
  <si>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</si>
  <si>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</si>
  <si>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</si>
  <si>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</si>
  <si>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</si>
  <si>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</si>
  <si>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</si>
  <si>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</si>
  <si>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</si>
  <si>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</si>
  <si>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</si>
  <si>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</si>
  <si>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</si>
  <si>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</si>
  <si>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</si>
  <si>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</si>
  <si>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</si>
  <si>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</si>
  <si>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</si>
  <si>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</si>
  <si>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</si>
  <si>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</si>
  <si>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</si>
  <si>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</si>
  <si>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</si>
  <si>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</si>
  <si>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</si>
  <si>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</si>
  <si>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</si>
  <si>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</si>
  <si>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</si>
  <si>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</si>
  <si>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</si>
  <si>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</si>
  <si>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</si>
  <si>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</si>
  <si>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SORT the following contestants by their rank, lowest to highest</t>
  </si>
  <si>
    <t>Rank</t>
  </si>
  <si>
    <t>Leroy</t>
  </si>
  <si>
    <t>Adi</t>
  </si>
  <si>
    <t>Anya</t>
  </si>
  <si>
    <t>Nemo</t>
  </si>
  <si>
    <t>Answer: (insert formula in the yellow cell)</t>
  </si>
  <si>
    <t>&lt;Insert formula in the yellow cell</t>
  </si>
  <si>
    <t>EXERCISE 1 - BASIC SORT</t>
  </si>
  <si>
    <t>Use SORTBY to sort the names by number of points in a descending order. For each column separately.</t>
  </si>
  <si>
    <t>Points Round 1</t>
  </si>
  <si>
    <t>Points Round 2</t>
  </si>
  <si>
    <t>Total Points</t>
  </si>
  <si>
    <t>Hayley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</si>
  <si>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</si>
  <si>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</si>
  <si>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</si>
  <si>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</si>
  <si>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</si>
  <si>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</si>
  <si>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</si>
  <si>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</si>
  <si>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</si>
  <si>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</si>
  <si>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</si>
  <si>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</si>
  <si>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</si>
  <si>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</si>
  <si>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</si>
  <si>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</si>
  <si>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</si>
  <si>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</si>
  <si>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</si>
  <si>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</si>
  <si>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</si>
  <si>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</si>
  <si>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</si>
  <si>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</si>
  <si>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</si>
  <si>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</si>
  <si>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</si>
  <si>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</si>
  <si>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</si>
  <si>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</si>
  <si>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</si>
  <si>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</si>
  <si>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</si>
  <si>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</si>
  <si>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</si>
  <si>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</si>
  <si>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</si>
  <si>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</si>
  <si>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</si>
  <si>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</si>
  <si>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A5:A12 (8 rows) with random decimal numbers.</t>
  </si>
  <si>
    <t>The decimal numbers should range between 10.7 to 24.3</t>
  </si>
  <si>
    <t>FULL-TIME</t>
  </si>
  <si>
    <r>
      <t xml:space="preserve">USING </t>
    </r>
    <r>
      <rPr>
        <b/>
        <sz val="14"/>
        <color rgb="FFF63B1C"/>
        <rFont val="Calibri"/>
        <family val="2"/>
      </rPr>
      <t>ISBLANK</t>
    </r>
    <r>
      <rPr>
        <b/>
        <sz val="14"/>
        <color rgb="FF000000"/>
        <rFont val="Calibri"/>
        <family val="2"/>
      </rPr>
      <t xml:space="preserve"> TO CHECK BLANK SPACE</t>
    </r>
  </si>
  <si>
    <r>
      <t xml:space="preserve">USING </t>
    </r>
    <r>
      <rPr>
        <b/>
        <sz val="14"/>
        <color rgb="FFF63B1C"/>
        <rFont val="Calibri"/>
        <family val="2"/>
        <scheme val="minor"/>
      </rPr>
      <t>AND</t>
    </r>
    <r>
      <rPr>
        <b/>
        <sz val="14"/>
        <color rgb="FF000000"/>
        <rFont val="Calibri"/>
        <family val="2"/>
        <scheme val="minor"/>
      </rPr>
      <t xml:space="preserve"> OPERATOR</t>
    </r>
  </si>
  <si>
    <r>
      <t xml:space="preserve">USING </t>
    </r>
    <r>
      <rPr>
        <b/>
        <sz val="14"/>
        <color rgb="FFF63B1C"/>
        <rFont val="Calibri"/>
        <family val="2"/>
        <scheme val="minor"/>
      </rPr>
      <t>OR</t>
    </r>
    <r>
      <rPr>
        <b/>
        <sz val="14"/>
        <color rgb="FF000000"/>
        <rFont val="Calibri"/>
        <family val="2"/>
        <scheme val="minor"/>
      </rPr>
      <t xml:space="preserve"> OPERATOR</t>
    </r>
  </si>
  <si>
    <r>
      <t xml:space="preserve">USING </t>
    </r>
    <r>
      <rPr>
        <b/>
        <sz val="11"/>
        <color rgb="FFF63B1C"/>
        <rFont val="Calibri"/>
        <family val="2"/>
        <scheme val="minor"/>
      </rPr>
      <t>LEFT</t>
    </r>
    <r>
      <rPr>
        <b/>
        <sz val="11"/>
        <color rgb="FF000000"/>
        <rFont val="Calibri"/>
        <family val="2"/>
        <scheme val="minor"/>
      </rPr>
      <t xml:space="preserve"> TO TAKE FIRST 4 CHARACTER</t>
    </r>
  </si>
  <si>
    <r>
      <t xml:space="preserve">USING </t>
    </r>
    <r>
      <rPr>
        <b/>
        <sz val="11"/>
        <color rgb="FFF63B1C"/>
        <rFont val="Calibri"/>
        <family val="2"/>
        <scheme val="minor"/>
      </rPr>
      <t>RIGHT</t>
    </r>
  </si>
  <si>
    <r>
      <t xml:space="preserve">USING </t>
    </r>
    <r>
      <rPr>
        <b/>
        <sz val="11"/>
        <color rgb="FFF63B1C"/>
        <rFont val="Calibri"/>
        <family val="2"/>
        <scheme val="minor"/>
      </rPr>
      <t>MID</t>
    </r>
  </si>
  <si>
    <t>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</si>
</sst>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58"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3"/>
      <color theme="1"/>
      <name val="Calibri"/>
      <scheme val="minor"/>
    </font>
    <font>
      <sz val="16"/>
      <color theme="1"/>
      <name val="Calibri"/>
      <scheme val="minor"/>
    </font>
    <font>
      <b/>
      <sz val="15"/>
      <color theme="1"/>
      <name val="Calibri"/>
      <scheme val="minor"/>
    </font>
    <font>
      <sz val="11"/>
      <name val="Calibri"/>
    </font>
    <font>
      <b/>
      <sz val="14"/>
      <color rgb="FF000000"/>
      <name val="Calibri"/>
      <scheme val="minor"/>
    </font>
    <font>
      <sz val="8"/>
      <color theme="1"/>
      <name val="Calibri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u/>
      <sz val="11"/>
      <color rgb="FF000000"/>
      <name val="Calibri"/>
    </font>
    <font>
      <sz val="14"/>
      <color rgb="FF333333"/>
      <name val="Calibri"/>
      <scheme val="minor"/>
    </font>
    <font>
      <u/>
      <sz val="14"/>
      <color rgb="FF3A3A3A"/>
      <name val="Calibri"/>
    </font>
    <font>
      <sz val="14"/>
      <color rgb="FF3A3A3A"/>
      <name val="Arial"/>
    </font>
    <font>
      <b/>
      <sz val="13"/>
      <color rgb="FF000000"/>
      <name val="Calibri"/>
    </font>
    <font>
      <sz val="17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7"/>
      <color theme="1"/>
      <name val="Arial"/>
    </font>
    <font>
      <sz val="11"/>
      <color rgb="FF444444"/>
      <name val="Calibri"/>
    </font>
    <font>
      <sz val="10"/>
      <color rgb="FF666666"/>
      <name val="Arial"/>
    </font>
    <font>
      <b/>
      <sz val="17"/>
      <color theme="1"/>
      <name val="Arial"/>
    </font>
    <font>
      <b/>
      <sz val="11"/>
      <color rgb="FF374151"/>
      <name val="Söhne"/>
    </font>
    <font>
      <sz val="11"/>
      <color rgb="FF374151"/>
      <name val="Söhne"/>
    </font>
    <font>
      <b/>
      <sz val="11"/>
      <color rgb="FFFF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sz val="9"/>
      <color rgb="FFFF0000"/>
      <name val="Calibri"/>
    </font>
    <font>
      <b/>
      <sz val="17"/>
      <color theme="1"/>
      <name val="Calibri"/>
      <scheme val="minor"/>
    </font>
    <font>
      <u/>
      <sz val="11"/>
      <color rgb="FF1155CC"/>
      <name val="Calibri, sans-serif"/>
    </font>
    <font>
      <sz val="16"/>
      <color theme="1"/>
      <name val="Calibri"/>
    </font>
    <font>
      <u/>
      <sz val="14"/>
      <color rgb="FF1155CC"/>
      <name val="Calibri"/>
    </font>
    <font>
      <sz val="14"/>
      <color rgb="FF3A3A3A"/>
      <name val="Calibri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63B1C"/>
      <name val="Calibri"/>
      <family val="2"/>
    </font>
    <font>
      <b/>
      <sz val="14"/>
      <color rgb="FFF63B1C"/>
      <name val="Calibri"/>
      <family val="2"/>
      <scheme val="minor"/>
    </font>
    <font>
      <b/>
      <sz val="11"/>
      <color rgb="FFF63B1C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0" fontId="2" fillId="3" borderId="6" xfId="0" applyFont="1" applyFill="1" applyBorder="1"/>
    <xf numFmtId="0" fontId="6" fillId="3" borderId="0" xfId="0" applyFont="1" applyFill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" fillId="5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2" fillId="0" borderId="0" xfId="0" applyFont="1"/>
    <xf numFmtId="0" fontId="13" fillId="0" borderId="1" xfId="0" applyFont="1" applyBorder="1"/>
    <xf numFmtId="0" fontId="2" fillId="0" borderId="1" xfId="0" applyFont="1" applyBorder="1"/>
    <xf numFmtId="0" fontId="12" fillId="6" borderId="1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1" xfId="0" applyFont="1" applyBorder="1"/>
    <xf numFmtId="0" fontId="1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4" fillId="0" borderId="5" xfId="0" applyFont="1" applyBorder="1"/>
    <xf numFmtId="0" fontId="15" fillId="7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14" fillId="0" borderId="7" xfId="0" applyFont="1" applyBorder="1"/>
    <xf numFmtId="0" fontId="14" fillId="0" borderId="8" xfId="0" applyFont="1" applyBorder="1"/>
    <xf numFmtId="0" fontId="2" fillId="0" borderId="9" xfId="0" applyFont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7" fillId="8" borderId="0" xfId="0" applyFont="1" applyFill="1" applyAlignment="1">
      <alignment horizontal="right"/>
    </xf>
    <xf numFmtId="0" fontId="19" fillId="0" borderId="0" xfId="0" applyFont="1"/>
    <xf numFmtId="0" fontId="18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5" borderId="1" xfId="0" applyFont="1" applyFill="1" applyBorder="1"/>
    <xf numFmtId="0" fontId="20" fillId="0" borderId="0" xfId="0" applyFont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9" borderId="2" xfId="0" applyFont="1" applyFill="1" applyBorder="1" applyAlignment="1">
      <alignment horizontal="right"/>
    </xf>
    <xf numFmtId="0" fontId="17" fillId="9" borderId="3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0" fontId="17" fillId="9" borderId="0" xfId="0" applyFont="1" applyFill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7" fillId="9" borderId="9" xfId="0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14" fillId="0" borderId="0" xfId="0" applyFont="1"/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5" borderId="1" xfId="0" applyFont="1" applyFill="1" applyBorder="1"/>
    <xf numFmtId="0" fontId="23" fillId="0" borderId="0" xfId="0" applyFont="1"/>
    <xf numFmtId="0" fontId="17" fillId="5" borderId="0" xfId="0" applyFont="1" applyFill="1"/>
    <xf numFmtId="0" fontId="2" fillId="11" borderId="5" xfId="0" applyFont="1" applyFill="1" applyBorder="1"/>
    <xf numFmtId="0" fontId="2" fillId="11" borderId="0" xfId="0" applyFont="1" applyFill="1"/>
    <xf numFmtId="0" fontId="2" fillId="11" borderId="6" xfId="0" applyFont="1" applyFill="1" applyBorder="1"/>
    <xf numFmtId="0" fontId="18" fillId="0" borderId="2" xfId="0" applyFont="1" applyBorder="1"/>
    <xf numFmtId="0" fontId="24" fillId="0" borderId="3" xfId="0" applyFont="1" applyBorder="1"/>
    <xf numFmtId="0" fontId="25" fillId="0" borderId="3" xfId="0" applyFont="1" applyBorder="1"/>
    <xf numFmtId="0" fontId="17" fillId="0" borderId="5" xfId="0" applyFont="1" applyBorder="1"/>
    <xf numFmtId="0" fontId="2" fillId="0" borderId="6" xfId="0" applyFont="1" applyBorder="1"/>
    <xf numFmtId="0" fontId="17" fillId="5" borderId="1" xfId="0" applyFont="1" applyFill="1" applyBorder="1" applyAlignment="1">
      <alignment horizontal="right"/>
    </xf>
    <xf numFmtId="0" fontId="18" fillId="0" borderId="5" xfId="0" applyFont="1" applyBorder="1"/>
    <xf numFmtId="0" fontId="2" fillId="0" borderId="5" xfId="0" applyFont="1" applyBorder="1"/>
    <xf numFmtId="0" fontId="2" fillId="0" borderId="7" xfId="0" applyFont="1" applyBorder="1"/>
    <xf numFmtId="0" fontId="17" fillId="0" borderId="8" xfId="0" applyFont="1" applyBorder="1"/>
    <xf numFmtId="0" fontId="2" fillId="0" borderId="8" xfId="0" applyFont="1" applyBorder="1"/>
    <xf numFmtId="0" fontId="17" fillId="12" borderId="1" xfId="0" applyFont="1" applyFill="1" applyBorder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6" fillId="0" borderId="2" xfId="0" applyFont="1" applyBorder="1"/>
    <xf numFmtId="0" fontId="17" fillId="0" borderId="6" xfId="0" applyFont="1" applyBorder="1"/>
    <xf numFmtId="0" fontId="17" fillId="0" borderId="7" xfId="0" applyFont="1" applyBorder="1"/>
    <xf numFmtId="0" fontId="18" fillId="0" borderId="0" xfId="0" applyFont="1" applyAlignment="1">
      <alignment horizontal="center"/>
    </xf>
    <xf numFmtId="0" fontId="18" fillId="5" borderId="0" xfId="0" applyFont="1" applyFill="1"/>
    <xf numFmtId="0" fontId="27" fillId="12" borderId="0" xfId="0" applyFont="1" applyFill="1"/>
    <xf numFmtId="0" fontId="28" fillId="12" borderId="0" xfId="0" applyFont="1" applyFill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9" fillId="12" borderId="0" xfId="0" applyFont="1" applyFill="1"/>
    <xf numFmtId="0" fontId="17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30" fillId="0" borderId="0" xfId="0" applyFont="1"/>
    <xf numFmtId="0" fontId="18" fillId="0" borderId="1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14" borderId="3" xfId="0" applyFont="1" applyFill="1" applyBorder="1"/>
    <xf numFmtId="0" fontId="17" fillId="14" borderId="3" xfId="0" applyFont="1" applyFill="1" applyBorder="1" applyAlignment="1">
      <alignment horizontal="right"/>
    </xf>
    <xf numFmtId="0" fontId="17" fillId="14" borderId="0" xfId="0" applyFont="1" applyFill="1"/>
    <xf numFmtId="0" fontId="17" fillId="14" borderId="0" xfId="0" applyFont="1" applyFill="1" applyAlignment="1">
      <alignment horizontal="right"/>
    </xf>
    <xf numFmtId="0" fontId="32" fillId="0" borderId="0" xfId="0" applyFont="1"/>
    <xf numFmtId="0" fontId="33" fillId="0" borderId="0" xfId="0" applyFont="1"/>
    <xf numFmtId="0" fontId="32" fillId="0" borderId="1" xfId="0" applyFont="1" applyBorder="1"/>
    <xf numFmtId="0" fontId="33" fillId="0" borderId="1" xfId="0" applyFont="1" applyBorder="1" applyAlignment="1">
      <alignment horizontal="right"/>
    </xf>
    <xf numFmtId="0" fontId="33" fillId="0" borderId="1" xfId="0" applyFont="1" applyBorder="1"/>
    <xf numFmtId="0" fontId="18" fillId="15" borderId="1" xfId="0" applyFont="1" applyFill="1" applyBorder="1"/>
    <xf numFmtId="0" fontId="34" fillId="0" borderId="0" xfId="0" applyFont="1"/>
    <xf numFmtId="0" fontId="33" fillId="5" borderId="1" xfId="0" applyFont="1" applyFill="1" applyBorder="1"/>
    <xf numFmtId="0" fontId="17" fillId="16" borderId="0" xfId="0" applyFont="1" applyFill="1" applyAlignment="1">
      <alignment horizontal="right"/>
    </xf>
    <xf numFmtId="0" fontId="32" fillId="15" borderId="1" xfId="0" applyFont="1" applyFill="1" applyBorder="1"/>
    <xf numFmtId="0" fontId="33" fillId="5" borderId="0" xfId="0" applyFont="1" applyFill="1"/>
    <xf numFmtId="0" fontId="36" fillId="5" borderId="0" xfId="0" applyFont="1" applyFill="1"/>
    <xf numFmtId="0" fontId="36" fillId="0" borderId="0" xfId="0" quotePrefix="1" applyFont="1"/>
    <xf numFmtId="0" fontId="37" fillId="0" borderId="0" xfId="0" quotePrefix="1" applyFont="1"/>
    <xf numFmtId="0" fontId="36" fillId="0" borderId="0" xfId="0" applyFont="1"/>
    <xf numFmtId="0" fontId="39" fillId="0" borderId="1" xfId="0" applyFont="1" applyBorder="1"/>
    <xf numFmtId="0" fontId="40" fillId="0" borderId="1" xfId="0" applyFont="1" applyBorder="1"/>
    <xf numFmtId="0" fontId="25" fillId="0" borderId="0" xfId="0" applyFont="1"/>
    <xf numFmtId="0" fontId="18" fillId="17" borderId="1" xfId="0" applyFont="1" applyFill="1" applyBorder="1"/>
    <xf numFmtId="0" fontId="17" fillId="17" borderId="1" xfId="0" applyFont="1" applyFill="1" applyBorder="1"/>
    <xf numFmtId="0" fontId="17" fillId="17" borderId="1" xfId="0" applyFont="1" applyFill="1" applyBorder="1" applyAlignment="1">
      <alignment horizontal="right"/>
    </xf>
    <xf numFmtId="0" fontId="41" fillId="0" borderId="0" xfId="0" applyFont="1"/>
    <xf numFmtId="0" fontId="18" fillId="18" borderId="1" xfId="0" applyFont="1" applyFill="1" applyBorder="1"/>
    <xf numFmtId="0" fontId="18" fillId="3" borderId="1" xfId="0" applyFont="1" applyFill="1" applyBorder="1"/>
    <xf numFmtId="0" fontId="17" fillId="18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45" fillId="0" borderId="6" xfId="0" applyFont="1" applyBorder="1"/>
    <xf numFmtId="0" fontId="46" fillId="10" borderId="0" xfId="0" applyFont="1" applyFill="1"/>
    <xf numFmtId="3" fontId="17" fillId="17" borderId="1" xfId="0" applyNumberFormat="1" applyFont="1" applyFill="1" applyBorder="1" applyAlignment="1">
      <alignment horizontal="right"/>
    </xf>
    <xf numFmtId="3" fontId="17" fillId="0" borderId="1" xfId="0" applyNumberFormat="1" applyFont="1" applyBorder="1"/>
    <xf numFmtId="0" fontId="17" fillId="0" borderId="0" xfId="0" applyFont="1" applyAlignment="1">
      <alignment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17" fillId="19" borderId="0" xfId="0" applyFont="1" applyFill="1"/>
    <xf numFmtId="0" fontId="17" fillId="19" borderId="1" xfId="0" applyFont="1" applyFill="1" applyBorder="1" applyAlignment="1">
      <alignment horizontal="right"/>
    </xf>
    <xf numFmtId="0" fontId="53" fillId="19" borderId="0" xfId="0" applyFont="1" applyFill="1"/>
    <xf numFmtId="0" fontId="52" fillId="19" borderId="0" xfId="0" applyFont="1" applyFill="1"/>
    <xf numFmtId="0" fontId="54" fillId="19" borderId="0" xfId="0" applyFont="1" applyFill="1"/>
    <xf numFmtId="0" fontId="38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5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wrapText="1"/>
    </xf>
    <xf numFmtId="0" fontId="2" fillId="4" borderId="2" xfId="0" applyFont="1" applyFill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11" borderId="2" xfId="0" applyFont="1" applyFill="1" applyBorder="1" applyAlignment="1">
      <alignment wrapText="1"/>
    </xf>
    <xf numFmtId="0" fontId="14" fillId="11" borderId="5" xfId="0" applyFont="1" applyFill="1" applyBorder="1"/>
    <xf numFmtId="0" fontId="17" fillId="0" borderId="2" xfId="0" applyFont="1" applyBorder="1" applyAlignment="1">
      <alignment horizontal="left" wrapText="1"/>
    </xf>
    <xf numFmtId="0" fontId="18" fillId="13" borderId="2" xfId="0" applyFont="1" applyFill="1" applyBorder="1" applyAlignment="1">
      <alignment horizontal="left" wrapText="1"/>
    </xf>
    <xf numFmtId="0" fontId="17" fillId="0" borderId="0" xfId="0" applyFont="1" applyAlignment="1">
      <alignment horizontal="right"/>
    </xf>
    <xf numFmtId="0" fontId="18" fillId="0" borderId="3" xfId="0" applyFont="1" applyBorder="1"/>
    <xf numFmtId="0" fontId="33" fillId="0" borderId="0" xfId="0" applyFont="1"/>
    <xf numFmtId="0" fontId="35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42" fillId="17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47" fillId="0" borderId="2" xfId="0" applyFont="1" applyBorder="1" applyAlignment="1">
      <alignment horizontal="center"/>
    </xf>
    <xf numFmtId="0" fontId="43" fillId="18" borderId="2" xfId="0" applyFont="1" applyFill="1" applyBorder="1" applyAlignment="1">
      <alignment horizontal="center"/>
    </xf>
    <xf numFmtId="0" fontId="44" fillId="3" borderId="2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38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3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4140625" defaultRowHeight="15" customHeight="1"/>
  <cols>
    <col min="1" max="1" width="45.44140625" customWidth="1"/>
    <col min="2" max="26" width="8.6640625" customWidth="1"/>
  </cols>
  <sheetData>
    <row r="1" spans="1:2" ht="14.25" customHeight="1">
      <c r="A1" s="1" t="s">
        <v>0</v>
      </c>
    </row>
    <row r="2" spans="1:2" ht="14.25" customHeight="1">
      <c r="A2" s="2"/>
      <c r="B2" s="3" t="s">
        <v>1</v>
      </c>
    </row>
    <row r="3" spans="1:2" ht="14.25" customHeight="1"/>
    <row r="4" spans="1:2" ht="14.25" customHeight="1">
      <c r="A4" s="1" t="s">
        <v>2</v>
      </c>
    </row>
    <row r="5" spans="1:2" ht="14.25" customHeight="1">
      <c r="A5" s="2"/>
      <c r="B5" s="3" t="s">
        <v>3</v>
      </c>
    </row>
    <row r="6" spans="1:2" ht="14.25" customHeight="1"/>
    <row r="7" spans="1:2" ht="14.25" customHeight="1">
      <c r="A7" s="4" t="s">
        <v>4</v>
      </c>
    </row>
    <row r="8" spans="1:2" ht="14.25" customHeight="1">
      <c r="A8" s="2"/>
      <c r="B8" s="3" t="s">
        <v>5</v>
      </c>
    </row>
    <row r="9" spans="1:2" ht="14.25" customHeight="1"/>
    <row r="10" spans="1:2" ht="14.25" customHeight="1">
      <c r="A10" s="1" t="s">
        <v>6</v>
      </c>
    </row>
    <row r="11" spans="1:2" ht="14.25" customHeight="1">
      <c r="A11" s="2"/>
      <c r="B11" s="3" t="s">
        <v>7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21"/>
  <sheetViews>
    <sheetView workbookViewId="0"/>
  </sheetViews>
  <sheetFormatPr defaultColWidth="14.44140625" defaultRowHeight="15" customHeight="1"/>
  <cols>
    <col min="3" max="3" width="32" customWidth="1"/>
    <col min="4" max="4" width="29.109375" customWidth="1"/>
  </cols>
  <sheetData>
    <row r="3" spans="2:10" ht="15" customHeight="1">
      <c r="B3" s="5" t="s">
        <v>8</v>
      </c>
      <c r="C3" s="6" t="s">
        <v>9</v>
      </c>
    </row>
    <row r="6" spans="2:10" ht="14.4">
      <c r="E6" s="7"/>
      <c r="F6" s="8"/>
      <c r="G6" s="8"/>
      <c r="H6" s="8"/>
      <c r="I6" s="8"/>
      <c r="J6" s="9"/>
    </row>
    <row r="7" spans="2:10" ht="14.4">
      <c r="E7" s="10"/>
      <c r="F7" s="11"/>
      <c r="G7" s="11"/>
      <c r="H7" s="11"/>
      <c r="I7" s="11"/>
      <c r="J7" s="12"/>
    </row>
    <row r="8" spans="2:10" ht="14.4">
      <c r="E8" s="10"/>
      <c r="F8" s="11"/>
      <c r="G8" s="11"/>
      <c r="H8" s="11"/>
      <c r="I8" s="11"/>
      <c r="J8" s="12"/>
    </row>
    <row r="9" spans="2:10" ht="15" customHeight="1">
      <c r="E9" s="10"/>
      <c r="F9" s="11"/>
      <c r="G9" s="13" t="s">
        <v>10</v>
      </c>
      <c r="H9" s="11"/>
      <c r="I9" s="11"/>
      <c r="J9" s="12"/>
    </row>
    <row r="10" spans="2:10" ht="14.4">
      <c r="E10" s="10"/>
      <c r="F10" s="11"/>
      <c r="G10" s="11"/>
      <c r="H10" s="11"/>
      <c r="I10" s="11"/>
      <c r="J10" s="12"/>
    </row>
    <row r="11" spans="2:10" ht="14.4">
      <c r="E11" s="10"/>
      <c r="F11" s="11"/>
      <c r="G11" s="11"/>
      <c r="H11" s="11"/>
      <c r="I11" s="11"/>
      <c r="J11" s="12"/>
    </row>
    <row r="12" spans="2:10" ht="14.4">
      <c r="E12" s="14"/>
      <c r="F12" s="15"/>
      <c r="G12" s="15"/>
      <c r="H12" s="15"/>
      <c r="I12" s="15"/>
      <c r="J12" s="16"/>
    </row>
    <row r="18" spans="2:3" ht="14.4">
      <c r="B18" s="180" t="s">
        <v>8</v>
      </c>
      <c r="C18" s="183" t="s">
        <v>11</v>
      </c>
    </row>
    <row r="19" spans="2:3" ht="14.4">
      <c r="B19" s="181"/>
      <c r="C19" s="181"/>
    </row>
    <row r="20" spans="2:3" ht="14.4">
      <c r="B20" s="181"/>
      <c r="C20" s="181"/>
    </row>
    <row r="21" spans="2:3" ht="14.4">
      <c r="B21" s="182"/>
      <c r="C21" s="182"/>
    </row>
  </sheetData>
  <mergeCells count="2">
    <mergeCell ref="B18:B21"/>
    <mergeCell ref="C18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L24"/>
  <sheetViews>
    <sheetView workbookViewId="0">
      <selection activeCell="D18" sqref="D18"/>
    </sheetView>
  </sheetViews>
  <sheetFormatPr defaultColWidth="14.44140625" defaultRowHeight="15" customHeight="1"/>
  <cols>
    <col min="4" max="4" width="34.44140625" customWidth="1"/>
  </cols>
  <sheetData>
    <row r="5" spans="1:12" ht="15" customHeight="1">
      <c r="B5" s="17" t="s">
        <v>12</v>
      </c>
      <c r="C5" s="18"/>
      <c r="D5" s="18"/>
      <c r="E5" s="19"/>
      <c r="F5" s="19"/>
      <c r="G5" s="20"/>
      <c r="I5" s="184" t="s">
        <v>13</v>
      </c>
      <c r="J5" s="172"/>
      <c r="K5" s="172"/>
      <c r="L5" s="173"/>
    </row>
    <row r="6" spans="1:12" ht="15.6">
      <c r="B6" s="19"/>
      <c r="C6" s="19"/>
      <c r="D6" s="19"/>
      <c r="E6" s="19"/>
      <c r="F6" s="19"/>
      <c r="G6" s="20"/>
      <c r="I6" s="177"/>
      <c r="J6" s="178"/>
      <c r="K6" s="178"/>
      <c r="L6" s="179"/>
    </row>
    <row r="7" spans="1:12" ht="15.6">
      <c r="B7" s="21" t="s">
        <v>14</v>
      </c>
      <c r="C7" s="21" t="s">
        <v>15</v>
      </c>
      <c r="D7" s="21" t="s">
        <v>16</v>
      </c>
      <c r="E7" s="19"/>
      <c r="F7" s="19"/>
      <c r="G7" s="20"/>
      <c r="I7" s="177"/>
      <c r="J7" s="178"/>
      <c r="K7" s="178"/>
      <c r="L7" s="179"/>
    </row>
    <row r="8" spans="1:12" ht="15.6">
      <c r="B8" s="22">
        <v>19</v>
      </c>
      <c r="C8" s="22">
        <v>7</v>
      </c>
      <c r="D8" s="23">
        <f>SUM(B8:C8)</f>
        <v>26</v>
      </c>
      <c r="E8" s="24" t="s">
        <v>17</v>
      </c>
      <c r="F8" s="19"/>
      <c r="G8" s="20"/>
      <c r="I8" s="177"/>
      <c r="J8" s="178"/>
      <c r="K8" s="178"/>
      <c r="L8" s="179"/>
    </row>
    <row r="9" spans="1:12" ht="15.6">
      <c r="B9" s="19"/>
      <c r="C9" s="19"/>
      <c r="D9" s="19"/>
      <c r="E9" s="19"/>
      <c r="F9" s="19"/>
      <c r="G9" s="20"/>
      <c r="I9" s="177"/>
      <c r="J9" s="178"/>
      <c r="K9" s="178"/>
      <c r="L9" s="179"/>
    </row>
    <row r="10" spans="1:12" ht="15.6">
      <c r="A10" s="25"/>
      <c r="B10" s="21" t="s">
        <v>14</v>
      </c>
      <c r="C10" s="21" t="s">
        <v>15</v>
      </c>
      <c r="D10" s="21" t="s">
        <v>18</v>
      </c>
      <c r="E10" s="19"/>
      <c r="F10" s="19"/>
      <c r="G10" s="20"/>
      <c r="I10" s="174"/>
      <c r="J10" s="175"/>
      <c r="K10" s="175"/>
      <c r="L10" s="176"/>
    </row>
    <row r="11" spans="1:12" ht="15.6">
      <c r="B11" s="22">
        <v>18</v>
      </c>
      <c r="C11" s="22">
        <v>5</v>
      </c>
      <c r="D11" s="23">
        <f>B11-C11</f>
        <v>13</v>
      </c>
      <c r="E11" s="24" t="s">
        <v>17</v>
      </c>
      <c r="F11" s="19"/>
      <c r="G11" s="20"/>
    </row>
    <row r="12" spans="1:12" ht="15.6">
      <c r="B12" s="19"/>
      <c r="C12" s="19"/>
      <c r="D12" s="19"/>
      <c r="E12" s="19"/>
      <c r="F12" s="19"/>
      <c r="G12" s="20"/>
    </row>
    <row r="13" spans="1:12" ht="15.6">
      <c r="B13" s="21" t="s">
        <v>14</v>
      </c>
      <c r="C13" s="21" t="s">
        <v>15</v>
      </c>
      <c r="D13" s="21" t="s">
        <v>19</v>
      </c>
      <c r="E13" s="19"/>
      <c r="F13" s="19"/>
      <c r="G13" s="20"/>
    </row>
    <row r="14" spans="1:12" ht="15.6">
      <c r="B14" s="22">
        <v>5</v>
      </c>
      <c r="C14" s="22">
        <v>8</v>
      </c>
      <c r="D14" s="23">
        <f>B14*C14</f>
        <v>40</v>
      </c>
      <c r="E14" s="24" t="s">
        <v>17</v>
      </c>
      <c r="F14" s="19"/>
      <c r="G14" s="20"/>
    </row>
    <row r="15" spans="1:12" ht="15.6">
      <c r="B15" s="19"/>
      <c r="C15" s="19"/>
      <c r="D15" s="19"/>
      <c r="E15" s="19"/>
      <c r="F15" s="19"/>
      <c r="G15" s="20"/>
    </row>
    <row r="16" spans="1:12" ht="15.6">
      <c r="B16" s="21" t="s">
        <v>14</v>
      </c>
      <c r="C16" s="21" t="s">
        <v>15</v>
      </c>
      <c r="D16" s="21" t="s">
        <v>20</v>
      </c>
      <c r="E16" s="26"/>
      <c r="F16" s="19"/>
      <c r="G16" s="20"/>
    </row>
    <row r="17" spans="2:7" ht="15.6">
      <c r="B17" s="22">
        <v>144</v>
      </c>
      <c r="C17" s="22">
        <v>12</v>
      </c>
      <c r="D17" s="23">
        <f>B17/C17</f>
        <v>12</v>
      </c>
      <c r="E17" s="24" t="s">
        <v>17</v>
      </c>
      <c r="F17" s="19"/>
      <c r="G17" s="20"/>
    </row>
    <row r="18" spans="2:7" ht="15.6">
      <c r="B18" s="1"/>
      <c r="C18" s="1"/>
      <c r="D18" s="1"/>
      <c r="E18" s="1"/>
      <c r="F18" s="1"/>
    </row>
    <row r="22" spans="2:7" ht="14.4">
      <c r="E22" s="27" t="s">
        <v>21</v>
      </c>
    </row>
    <row r="24" spans="2:7" ht="14.4">
      <c r="D24" s="27" t="str">
        <f>E22</f>
        <v>Hola</v>
      </c>
    </row>
  </sheetData>
  <mergeCells count="1">
    <mergeCell ref="I5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6"/>
  <sheetViews>
    <sheetView topLeftCell="A6" workbookViewId="0">
      <selection activeCell="G5" sqref="G5"/>
    </sheetView>
  </sheetViews>
  <sheetFormatPr defaultColWidth="14.44140625" defaultRowHeight="15" customHeight="1"/>
  <cols>
    <col min="3" max="3" width="18.44140625" customWidth="1"/>
    <col min="6" max="6" width="18.33203125" customWidth="1"/>
    <col min="7" max="7" width="17.44140625" customWidth="1"/>
  </cols>
  <sheetData>
    <row r="1" spans="1:8">
      <c r="A1" s="28" t="s">
        <v>14</v>
      </c>
      <c r="B1" s="28" t="s">
        <v>15</v>
      </c>
      <c r="C1" s="28" t="s">
        <v>22</v>
      </c>
      <c r="E1" s="29"/>
      <c r="F1" s="29" t="s">
        <v>23</v>
      </c>
      <c r="G1" s="30">
        <v>0.77</v>
      </c>
      <c r="H1" s="29"/>
    </row>
    <row r="2" spans="1:8">
      <c r="A2" s="29">
        <v>11</v>
      </c>
      <c r="B2" s="29">
        <v>3</v>
      </c>
      <c r="C2" s="29">
        <f>A2+B2</f>
        <v>14</v>
      </c>
    </row>
    <row r="3" spans="1:8">
      <c r="A3" s="29">
        <v>11</v>
      </c>
      <c r="B3" s="29">
        <v>13</v>
      </c>
      <c r="C3" s="29">
        <f t="shared" ref="C3:C12" si="0">A3+B3</f>
        <v>24</v>
      </c>
      <c r="E3" s="29"/>
      <c r="F3" s="28" t="s">
        <v>24</v>
      </c>
      <c r="G3" s="28" t="s">
        <v>25</v>
      </c>
      <c r="H3" s="29"/>
    </row>
    <row r="4" spans="1:8">
      <c r="A4" s="29">
        <v>10</v>
      </c>
      <c r="B4" s="29">
        <v>12</v>
      </c>
      <c r="C4" s="29">
        <f t="shared" si="0"/>
        <v>22</v>
      </c>
      <c r="E4" s="29">
        <v>1</v>
      </c>
      <c r="F4" s="164" t="s">
        <v>26</v>
      </c>
      <c r="G4" s="29" t="e">
        <f>F4*G1</f>
        <v>#VALUE!</v>
      </c>
      <c r="H4" s="29"/>
    </row>
    <row r="5" spans="1:8">
      <c r="A5" s="29">
        <v>17</v>
      </c>
      <c r="B5" s="29">
        <v>11</v>
      </c>
      <c r="C5" s="29">
        <f t="shared" si="0"/>
        <v>28</v>
      </c>
      <c r="E5" s="29">
        <v>2</v>
      </c>
      <c r="F5" s="164" t="s">
        <v>27</v>
      </c>
      <c r="G5" s="165"/>
      <c r="H5" s="29"/>
    </row>
    <row r="6" spans="1:8">
      <c r="A6" s="29">
        <v>19</v>
      </c>
      <c r="B6" s="29">
        <v>6</v>
      </c>
      <c r="C6" s="29">
        <f t="shared" si="0"/>
        <v>25</v>
      </c>
      <c r="E6" s="29">
        <v>3</v>
      </c>
      <c r="F6" s="164" t="s">
        <v>28</v>
      </c>
      <c r="G6" s="29"/>
      <c r="H6" s="29"/>
    </row>
    <row r="7" spans="1:8">
      <c r="A7" s="29">
        <v>20</v>
      </c>
      <c r="B7" s="29">
        <v>14</v>
      </c>
      <c r="C7" s="29">
        <f t="shared" si="0"/>
        <v>34</v>
      </c>
      <c r="E7" s="29">
        <v>4</v>
      </c>
      <c r="F7" s="164" t="s">
        <v>29</v>
      </c>
      <c r="G7" s="165"/>
      <c r="H7" s="29"/>
    </row>
    <row r="8" spans="1:8">
      <c r="A8" s="29">
        <v>13</v>
      </c>
      <c r="B8" s="29">
        <v>13</v>
      </c>
      <c r="C8" s="29">
        <f t="shared" si="0"/>
        <v>26</v>
      </c>
      <c r="E8" s="29">
        <v>5</v>
      </c>
      <c r="F8" s="164" t="s">
        <v>30</v>
      </c>
      <c r="G8" s="29"/>
      <c r="H8" s="29"/>
    </row>
    <row r="9" spans="1:8">
      <c r="A9" s="29">
        <v>9</v>
      </c>
      <c r="B9" s="29">
        <v>12</v>
      </c>
      <c r="C9" s="29">
        <f t="shared" si="0"/>
        <v>21</v>
      </c>
      <c r="E9" s="29">
        <v>6</v>
      </c>
      <c r="F9" s="164" t="s">
        <v>31</v>
      </c>
      <c r="G9" s="165"/>
      <c r="H9" s="29"/>
    </row>
    <row r="10" spans="1:8">
      <c r="A10" s="29">
        <v>4</v>
      </c>
      <c r="B10" s="29">
        <v>7</v>
      </c>
      <c r="C10" s="29">
        <f t="shared" si="0"/>
        <v>11</v>
      </c>
      <c r="E10" s="29">
        <v>7</v>
      </c>
      <c r="F10" s="164" t="s">
        <v>32</v>
      </c>
      <c r="G10" s="29"/>
      <c r="H10" s="29"/>
    </row>
    <row r="11" spans="1:8">
      <c r="A11" s="29">
        <v>8</v>
      </c>
      <c r="B11" s="29">
        <v>8</v>
      </c>
      <c r="C11" s="29">
        <f t="shared" si="0"/>
        <v>16</v>
      </c>
      <c r="E11" s="29">
        <v>8</v>
      </c>
      <c r="F11" s="164" t="s">
        <v>33</v>
      </c>
      <c r="G11" s="165"/>
      <c r="H11" s="29"/>
    </row>
    <row r="12" spans="1:8">
      <c r="A12" s="29">
        <v>15</v>
      </c>
      <c r="B12" s="29">
        <v>9</v>
      </c>
      <c r="C12" s="29">
        <f t="shared" si="0"/>
        <v>24</v>
      </c>
      <c r="E12" s="29">
        <v>9</v>
      </c>
      <c r="F12" s="164" t="s">
        <v>34</v>
      </c>
      <c r="G12" s="29"/>
      <c r="H12" s="29"/>
    </row>
    <row r="13" spans="1:8">
      <c r="E13" s="29">
        <v>10</v>
      </c>
      <c r="F13" s="164" t="s">
        <v>35</v>
      </c>
      <c r="G13" s="165"/>
      <c r="H13" s="29"/>
    </row>
    <row r="14" spans="1:8">
      <c r="E14" s="29">
        <v>11</v>
      </c>
      <c r="F14" s="164" t="s">
        <v>36</v>
      </c>
      <c r="G14" s="29"/>
      <c r="H14" s="29"/>
    </row>
    <row r="15" spans="1:8">
      <c r="E15" s="29">
        <v>12</v>
      </c>
      <c r="F15" s="164" t="s">
        <v>37</v>
      </c>
      <c r="G15" s="165"/>
      <c r="H15" s="29"/>
    </row>
    <row r="16" spans="1:8">
      <c r="E16" s="29">
        <v>13</v>
      </c>
      <c r="F16" s="164" t="s">
        <v>38</v>
      </c>
      <c r="G16" s="29"/>
      <c r="H16" s="29"/>
    </row>
    <row r="17" spans="1:11">
      <c r="E17" s="29">
        <v>14</v>
      </c>
      <c r="F17" s="164" t="s">
        <v>39</v>
      </c>
      <c r="G17" s="165"/>
      <c r="H17" s="29"/>
    </row>
    <row r="26" spans="1:11">
      <c r="A26" s="31"/>
      <c r="B26" s="32">
        <v>1</v>
      </c>
      <c r="C26" s="33">
        <v>2</v>
      </c>
      <c r="D26" s="33">
        <v>3</v>
      </c>
      <c r="E26" s="33">
        <v>4</v>
      </c>
      <c r="F26" s="33">
        <v>5</v>
      </c>
      <c r="G26" s="33">
        <v>6</v>
      </c>
      <c r="H26" s="33">
        <v>7</v>
      </c>
      <c r="I26" s="33">
        <v>8</v>
      </c>
      <c r="J26" s="33">
        <v>9</v>
      </c>
      <c r="K26" s="34">
        <v>10</v>
      </c>
    </row>
    <row r="27" spans="1:11">
      <c r="A27" s="35">
        <v>1</v>
      </c>
      <c r="B27" s="29">
        <f t="shared" ref="B27:K27" si="1">$A27*B$26</f>
        <v>1</v>
      </c>
      <c r="C27" s="29">
        <f t="shared" si="1"/>
        <v>2</v>
      </c>
      <c r="D27" s="29">
        <f t="shared" si="1"/>
        <v>3</v>
      </c>
      <c r="E27" s="29">
        <f t="shared" si="1"/>
        <v>4</v>
      </c>
      <c r="F27" s="29">
        <f t="shared" si="1"/>
        <v>5</v>
      </c>
      <c r="G27" s="29">
        <f t="shared" si="1"/>
        <v>6</v>
      </c>
      <c r="H27" s="29">
        <f t="shared" si="1"/>
        <v>7</v>
      </c>
      <c r="I27" s="29">
        <f t="shared" si="1"/>
        <v>8</v>
      </c>
      <c r="J27" s="29">
        <f t="shared" si="1"/>
        <v>9</v>
      </c>
      <c r="K27" s="29">
        <f t="shared" si="1"/>
        <v>10</v>
      </c>
    </row>
    <row r="28" spans="1:11">
      <c r="A28" s="35">
        <v>2</v>
      </c>
      <c r="B28" s="29">
        <f t="shared" ref="B28:K28" si="2">$A28*B$26</f>
        <v>2</v>
      </c>
      <c r="C28" s="29">
        <f t="shared" si="2"/>
        <v>4</v>
      </c>
      <c r="D28" s="29">
        <f t="shared" si="2"/>
        <v>6</v>
      </c>
      <c r="E28" s="29">
        <f t="shared" si="2"/>
        <v>8</v>
      </c>
      <c r="F28" s="29">
        <f t="shared" si="2"/>
        <v>10</v>
      </c>
      <c r="G28" s="29">
        <f t="shared" si="2"/>
        <v>12</v>
      </c>
      <c r="H28" s="29">
        <f t="shared" si="2"/>
        <v>14</v>
      </c>
      <c r="I28" s="29">
        <f t="shared" si="2"/>
        <v>16</v>
      </c>
      <c r="J28" s="29">
        <f t="shared" si="2"/>
        <v>18</v>
      </c>
      <c r="K28" s="29">
        <f t="shared" si="2"/>
        <v>20</v>
      </c>
    </row>
    <row r="29" spans="1:11">
      <c r="A29" s="35">
        <v>3</v>
      </c>
      <c r="B29" s="29">
        <f t="shared" ref="B29:K29" si="3">$A29*B$26</f>
        <v>3</v>
      </c>
      <c r="C29" s="29">
        <f t="shared" si="3"/>
        <v>6</v>
      </c>
      <c r="D29" s="29">
        <f t="shared" si="3"/>
        <v>9</v>
      </c>
      <c r="E29" s="29">
        <f t="shared" si="3"/>
        <v>12</v>
      </c>
      <c r="F29" s="29">
        <f t="shared" si="3"/>
        <v>15</v>
      </c>
      <c r="G29" s="29">
        <f t="shared" si="3"/>
        <v>18</v>
      </c>
      <c r="H29" s="29">
        <f t="shared" si="3"/>
        <v>21</v>
      </c>
      <c r="I29" s="29">
        <f t="shared" si="3"/>
        <v>24</v>
      </c>
      <c r="J29" s="29">
        <f t="shared" si="3"/>
        <v>27</v>
      </c>
      <c r="K29" s="29">
        <f t="shared" si="3"/>
        <v>30</v>
      </c>
    </row>
    <row r="30" spans="1:11">
      <c r="A30" s="35">
        <v>4</v>
      </c>
      <c r="B30" s="29">
        <f t="shared" ref="B30:K30" si="4">$A30*B$26</f>
        <v>4</v>
      </c>
      <c r="C30" s="29">
        <f t="shared" si="4"/>
        <v>8</v>
      </c>
      <c r="D30" s="29">
        <f t="shared" si="4"/>
        <v>12</v>
      </c>
      <c r="E30" s="29">
        <f t="shared" si="4"/>
        <v>16</v>
      </c>
      <c r="F30" s="29">
        <f t="shared" si="4"/>
        <v>20</v>
      </c>
      <c r="G30" s="29">
        <f t="shared" si="4"/>
        <v>24</v>
      </c>
      <c r="H30" s="29">
        <f t="shared" si="4"/>
        <v>28</v>
      </c>
      <c r="I30" s="29">
        <f t="shared" si="4"/>
        <v>32</v>
      </c>
      <c r="J30" s="29">
        <f t="shared" si="4"/>
        <v>36</v>
      </c>
      <c r="K30" s="29">
        <f t="shared" si="4"/>
        <v>40</v>
      </c>
    </row>
    <row r="31" spans="1:11">
      <c r="A31" s="35">
        <v>5</v>
      </c>
      <c r="B31" s="29">
        <f t="shared" ref="B31:K31" si="5">$A31*B$26</f>
        <v>5</v>
      </c>
      <c r="C31" s="29">
        <f t="shared" si="5"/>
        <v>10</v>
      </c>
      <c r="D31" s="29">
        <f t="shared" si="5"/>
        <v>15</v>
      </c>
      <c r="E31" s="29">
        <f t="shared" si="5"/>
        <v>20</v>
      </c>
      <c r="F31" s="29">
        <f t="shared" si="5"/>
        <v>25</v>
      </c>
      <c r="G31" s="29">
        <f t="shared" si="5"/>
        <v>30</v>
      </c>
      <c r="H31" s="29">
        <f t="shared" si="5"/>
        <v>35</v>
      </c>
      <c r="I31" s="29">
        <f t="shared" si="5"/>
        <v>40</v>
      </c>
      <c r="J31" s="29">
        <f t="shared" si="5"/>
        <v>45</v>
      </c>
      <c r="K31" s="29">
        <f t="shared" si="5"/>
        <v>50</v>
      </c>
    </row>
    <row r="32" spans="1:11">
      <c r="A32" s="35">
        <v>6</v>
      </c>
      <c r="B32" s="29">
        <f t="shared" ref="B32:K32" si="6">$A32*B$26</f>
        <v>6</v>
      </c>
      <c r="C32" s="29">
        <f t="shared" si="6"/>
        <v>12</v>
      </c>
      <c r="D32" s="29">
        <f t="shared" si="6"/>
        <v>18</v>
      </c>
      <c r="E32" s="29">
        <f t="shared" si="6"/>
        <v>24</v>
      </c>
      <c r="F32" s="29">
        <f t="shared" si="6"/>
        <v>30</v>
      </c>
      <c r="G32" s="29">
        <f t="shared" si="6"/>
        <v>36</v>
      </c>
      <c r="H32" s="29">
        <f t="shared" si="6"/>
        <v>42</v>
      </c>
      <c r="I32" s="29">
        <f t="shared" si="6"/>
        <v>48</v>
      </c>
      <c r="J32" s="29">
        <f t="shared" si="6"/>
        <v>54</v>
      </c>
      <c r="K32" s="29">
        <f t="shared" si="6"/>
        <v>60</v>
      </c>
    </row>
    <row r="33" spans="1:11">
      <c r="A33" s="35">
        <v>7</v>
      </c>
      <c r="B33" s="29">
        <f t="shared" ref="B33:K33" si="7">$A33*B$26</f>
        <v>7</v>
      </c>
      <c r="C33" s="29">
        <f t="shared" si="7"/>
        <v>14</v>
      </c>
      <c r="D33" s="29">
        <f t="shared" si="7"/>
        <v>21</v>
      </c>
      <c r="E33" s="29">
        <f t="shared" si="7"/>
        <v>28</v>
      </c>
      <c r="F33" s="29">
        <f t="shared" si="7"/>
        <v>35</v>
      </c>
      <c r="G33" s="29">
        <f t="shared" si="7"/>
        <v>42</v>
      </c>
      <c r="H33" s="29">
        <f t="shared" si="7"/>
        <v>49</v>
      </c>
      <c r="I33" s="29">
        <f t="shared" si="7"/>
        <v>56</v>
      </c>
      <c r="J33" s="29">
        <f t="shared" si="7"/>
        <v>63</v>
      </c>
      <c r="K33" s="29">
        <f t="shared" si="7"/>
        <v>70</v>
      </c>
    </row>
    <row r="34" spans="1:11">
      <c r="A34" s="35">
        <v>8</v>
      </c>
      <c r="B34" s="29">
        <f t="shared" ref="B34:K34" si="8">$A34*B$26</f>
        <v>8</v>
      </c>
      <c r="C34" s="29">
        <f t="shared" si="8"/>
        <v>16</v>
      </c>
      <c r="D34" s="29">
        <f t="shared" si="8"/>
        <v>24</v>
      </c>
      <c r="E34" s="29">
        <f t="shared" si="8"/>
        <v>32</v>
      </c>
      <c r="F34" s="29">
        <f t="shared" si="8"/>
        <v>40</v>
      </c>
      <c r="G34" s="29">
        <f t="shared" si="8"/>
        <v>48</v>
      </c>
      <c r="H34" s="29">
        <f t="shared" si="8"/>
        <v>56</v>
      </c>
      <c r="I34" s="29">
        <f t="shared" si="8"/>
        <v>64</v>
      </c>
      <c r="J34" s="29">
        <f t="shared" si="8"/>
        <v>72</v>
      </c>
      <c r="K34" s="29">
        <f t="shared" si="8"/>
        <v>80</v>
      </c>
    </row>
    <row r="35" spans="1:11">
      <c r="A35" s="35">
        <v>9</v>
      </c>
      <c r="B35" s="29">
        <f t="shared" ref="B35:K35" si="9">$A35*B$26</f>
        <v>9</v>
      </c>
      <c r="C35" s="29">
        <f t="shared" si="9"/>
        <v>18</v>
      </c>
      <c r="D35" s="29">
        <f t="shared" si="9"/>
        <v>27</v>
      </c>
      <c r="E35" s="29">
        <f t="shared" si="9"/>
        <v>36</v>
      </c>
      <c r="F35" s="29">
        <f t="shared" si="9"/>
        <v>45</v>
      </c>
      <c r="G35" s="29">
        <f t="shared" si="9"/>
        <v>54</v>
      </c>
      <c r="H35" s="29">
        <f t="shared" si="9"/>
        <v>63</v>
      </c>
      <c r="I35" s="29">
        <f t="shared" si="9"/>
        <v>72</v>
      </c>
      <c r="J35" s="29">
        <f t="shared" si="9"/>
        <v>81</v>
      </c>
      <c r="K35" s="29">
        <f t="shared" si="9"/>
        <v>90</v>
      </c>
    </row>
    <row r="36" spans="1:11">
      <c r="A36" s="36">
        <v>10</v>
      </c>
      <c r="B36" s="29">
        <f t="shared" ref="B36:K36" si="10">$A36*B$26</f>
        <v>10</v>
      </c>
      <c r="C36" s="29">
        <f t="shared" si="10"/>
        <v>20</v>
      </c>
      <c r="D36" s="29">
        <f t="shared" si="10"/>
        <v>30</v>
      </c>
      <c r="E36" s="29">
        <f t="shared" si="10"/>
        <v>40</v>
      </c>
      <c r="F36" s="29">
        <f t="shared" si="10"/>
        <v>50</v>
      </c>
      <c r="G36" s="29">
        <f t="shared" si="10"/>
        <v>60</v>
      </c>
      <c r="H36" s="29">
        <f t="shared" si="10"/>
        <v>70</v>
      </c>
      <c r="I36" s="29">
        <f t="shared" si="10"/>
        <v>80</v>
      </c>
      <c r="J36" s="29">
        <f t="shared" si="10"/>
        <v>90</v>
      </c>
      <c r="K36" s="29">
        <f t="shared" si="10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L18"/>
  <sheetViews>
    <sheetView workbookViewId="0">
      <selection activeCell="K21" sqref="K21"/>
    </sheetView>
  </sheetViews>
  <sheetFormatPr defaultColWidth="14.44140625" defaultRowHeight="15" customHeight="1"/>
  <cols>
    <col min="3" max="3" width="18.109375" customWidth="1"/>
  </cols>
  <sheetData>
    <row r="2" spans="1:12" ht="14.4">
      <c r="A2" s="37"/>
      <c r="B2" s="38"/>
      <c r="C2" s="38"/>
      <c r="D2" s="38"/>
      <c r="E2" s="38"/>
      <c r="F2" s="39"/>
    </row>
    <row r="3" spans="1:12" ht="15" customHeight="1">
      <c r="A3" s="40"/>
      <c r="B3" s="41" t="s">
        <v>40</v>
      </c>
      <c r="C3" s="41" t="s">
        <v>41</v>
      </c>
      <c r="D3" s="42"/>
      <c r="E3" s="42"/>
      <c r="F3" s="43"/>
    </row>
    <row r="4" spans="1:12" ht="15" customHeight="1">
      <c r="A4" s="40"/>
      <c r="B4" s="44" t="s">
        <v>42</v>
      </c>
      <c r="C4" s="45">
        <v>3</v>
      </c>
      <c r="D4" s="42"/>
      <c r="E4" s="42"/>
      <c r="F4" s="43"/>
      <c r="H4" s="51"/>
      <c r="I4" s="52"/>
      <c r="J4" s="52"/>
      <c r="K4" s="52"/>
      <c r="L4" s="51"/>
    </row>
    <row r="5" spans="1:12" ht="15" customHeight="1">
      <c r="A5" s="40"/>
      <c r="B5" s="44" t="s">
        <v>43</v>
      </c>
      <c r="C5" s="45">
        <v>5</v>
      </c>
      <c r="D5" s="42"/>
      <c r="E5" s="42"/>
      <c r="F5" s="43"/>
      <c r="H5" s="51"/>
      <c r="I5" s="53"/>
      <c r="J5" s="53"/>
      <c r="K5" s="53"/>
      <c r="L5" s="54"/>
    </row>
    <row r="6" spans="1:12" ht="15" customHeight="1">
      <c r="A6" s="40"/>
      <c r="B6" s="44" t="s">
        <v>44</v>
      </c>
      <c r="C6" s="45">
        <v>2</v>
      </c>
      <c r="D6" s="42"/>
      <c r="E6" s="42"/>
      <c r="F6" s="43"/>
      <c r="H6" s="51"/>
      <c r="I6" s="53"/>
      <c r="J6" s="53"/>
      <c r="K6" s="53"/>
      <c r="L6" s="54"/>
    </row>
    <row r="7" spans="1:12" ht="15" customHeight="1">
      <c r="A7" s="40"/>
      <c r="B7" s="44" t="s">
        <v>45</v>
      </c>
      <c r="C7" s="45">
        <v>6</v>
      </c>
      <c r="D7" s="42"/>
      <c r="E7" s="42"/>
      <c r="F7" s="43"/>
      <c r="H7" s="51"/>
      <c r="I7" s="53"/>
      <c r="J7" s="53"/>
      <c r="K7" s="53"/>
      <c r="L7" s="54"/>
    </row>
    <row r="8" spans="1:12" ht="15" customHeight="1">
      <c r="A8" s="40"/>
      <c r="B8" s="44" t="s">
        <v>46</v>
      </c>
      <c r="C8" s="45">
        <v>8</v>
      </c>
      <c r="D8" s="42"/>
      <c r="E8" s="42"/>
      <c r="F8" s="43"/>
    </row>
    <row r="9" spans="1:12" ht="15" customHeight="1">
      <c r="A9" s="40"/>
      <c r="B9" s="44" t="s">
        <v>47</v>
      </c>
      <c r="C9" s="46">
        <f>SUM(C4:C7)</f>
        <v>16</v>
      </c>
      <c r="D9" s="44" t="s">
        <v>48</v>
      </c>
      <c r="E9" s="42"/>
      <c r="F9" s="43"/>
    </row>
    <row r="10" spans="1:12" ht="15" customHeight="1">
      <c r="A10" s="47"/>
      <c r="B10" s="48"/>
      <c r="C10" s="48"/>
      <c r="D10" s="48"/>
      <c r="E10" s="48"/>
      <c r="F10" s="49"/>
    </row>
    <row r="14" spans="1:12" ht="14.4">
      <c r="A14" s="50"/>
      <c r="B14" s="50"/>
      <c r="C14" s="50"/>
      <c r="D14" s="50"/>
      <c r="E14" s="50"/>
      <c r="F14" s="50"/>
    </row>
    <row r="15" spans="1:12" ht="14.4">
      <c r="A15" s="51" t="s">
        <v>49</v>
      </c>
      <c r="B15" s="52">
        <v>2016</v>
      </c>
      <c r="C15" s="52">
        <v>2017</v>
      </c>
      <c r="D15" s="52">
        <v>2018</v>
      </c>
      <c r="E15" s="51" t="s">
        <v>50</v>
      </c>
      <c r="F15" s="50"/>
    </row>
    <row r="16" spans="1:12" ht="14.4">
      <c r="A16" s="51" t="s">
        <v>51</v>
      </c>
      <c r="B16" s="53" t="s">
        <v>52</v>
      </c>
      <c r="C16" s="53" t="s">
        <v>53</v>
      </c>
      <c r="D16" s="53" t="s">
        <v>54</v>
      </c>
      <c r="E16" s="54">
        <f>SUM(B16:D16)</f>
        <v>0</v>
      </c>
      <c r="F16" s="55"/>
    </row>
    <row r="17" spans="1:6" ht="14.4">
      <c r="A17" s="51" t="s">
        <v>55</v>
      </c>
      <c r="B17" s="53" t="s">
        <v>56</v>
      </c>
      <c r="C17" s="53" t="s">
        <v>57</v>
      </c>
      <c r="D17" s="53" t="s">
        <v>58</v>
      </c>
      <c r="E17" s="54"/>
      <c r="F17" s="50"/>
    </row>
    <row r="18" spans="1:6" ht="14.4">
      <c r="A18" s="51" t="s">
        <v>59</v>
      </c>
      <c r="B18" s="53" t="s">
        <v>60</v>
      </c>
      <c r="C18" s="53" t="s">
        <v>61</v>
      </c>
      <c r="D18" s="53" t="s">
        <v>62</v>
      </c>
      <c r="E18" s="54"/>
      <c r="F18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H31"/>
  <sheetViews>
    <sheetView workbookViewId="0">
      <selection activeCell="G34" sqref="G34"/>
    </sheetView>
  </sheetViews>
  <sheetFormatPr defaultColWidth="14.44140625" defaultRowHeight="15" customHeight="1"/>
  <sheetData>
    <row r="3" spans="2:8">
      <c r="B3" s="56" t="s">
        <v>40</v>
      </c>
      <c r="C3" s="56" t="s">
        <v>41</v>
      </c>
      <c r="D3" s="50"/>
    </row>
    <row r="4" spans="2:8">
      <c r="B4" s="57" t="s">
        <v>42</v>
      </c>
      <c r="C4" s="58">
        <v>3</v>
      </c>
      <c r="D4" s="50"/>
    </row>
    <row r="5" spans="2:8">
      <c r="B5" s="57" t="s">
        <v>43</v>
      </c>
      <c r="C5" s="58">
        <v>5</v>
      </c>
      <c r="D5" s="50"/>
    </row>
    <row r="6" spans="2:8">
      <c r="B6" s="57" t="s">
        <v>44</v>
      </c>
      <c r="C6" s="58">
        <v>2</v>
      </c>
      <c r="D6" s="50"/>
    </row>
    <row r="7" spans="2:8">
      <c r="B7" s="57" t="s">
        <v>45</v>
      </c>
      <c r="C7" s="58">
        <v>6</v>
      </c>
      <c r="D7" s="50"/>
    </row>
    <row r="8" spans="2:8">
      <c r="B8" s="57" t="s">
        <v>46</v>
      </c>
      <c r="C8" s="58">
        <v>8</v>
      </c>
      <c r="D8" s="50"/>
    </row>
    <row r="9" spans="2:8">
      <c r="B9" s="57" t="s">
        <v>63</v>
      </c>
      <c r="C9" s="59">
        <f>MAX(C4:C8)</f>
        <v>8</v>
      </c>
      <c r="D9" s="51" t="s">
        <v>48</v>
      </c>
    </row>
    <row r="15" spans="2:8">
      <c r="B15" s="50"/>
      <c r="C15" s="60" t="s">
        <v>64</v>
      </c>
      <c r="D15" s="50"/>
      <c r="E15" s="50"/>
      <c r="F15" s="50"/>
      <c r="G15" s="50"/>
      <c r="H15" s="50"/>
    </row>
    <row r="16" spans="2:8">
      <c r="B16" s="50"/>
      <c r="C16" s="50" t="s">
        <v>65</v>
      </c>
      <c r="D16" s="50"/>
      <c r="E16" s="50"/>
      <c r="F16" s="50"/>
      <c r="G16" s="50"/>
      <c r="H16" s="50"/>
    </row>
    <row r="17" spans="2:8">
      <c r="B17" s="185"/>
      <c r="C17" s="178"/>
      <c r="D17" s="50"/>
      <c r="E17" s="50"/>
      <c r="F17" s="50"/>
      <c r="G17" s="50"/>
      <c r="H17" s="50"/>
    </row>
    <row r="18" spans="2:8">
      <c r="B18" s="50"/>
      <c r="C18" s="61">
        <v>67</v>
      </c>
      <c r="D18" s="62">
        <v>78</v>
      </c>
      <c r="E18" s="62">
        <v>66</v>
      </c>
      <c r="F18" s="62">
        <v>92</v>
      </c>
      <c r="G18" s="63">
        <v>27</v>
      </c>
      <c r="H18" s="50"/>
    </row>
    <row r="19" spans="2:8">
      <c r="B19" s="50"/>
      <c r="C19" s="64">
        <v>81</v>
      </c>
      <c r="D19" s="53">
        <v>36</v>
      </c>
      <c r="E19" s="53">
        <v>100</v>
      </c>
      <c r="F19" s="53">
        <v>85</v>
      </c>
      <c r="G19" s="65">
        <v>60</v>
      </c>
      <c r="H19" s="50"/>
    </row>
    <row r="20" spans="2:8">
      <c r="B20" s="50"/>
      <c r="C20" s="64">
        <v>99</v>
      </c>
      <c r="D20" s="53">
        <v>78</v>
      </c>
      <c r="E20" s="53">
        <v>91</v>
      </c>
      <c r="F20" s="53">
        <v>41</v>
      </c>
      <c r="G20" s="65">
        <v>83</v>
      </c>
      <c r="H20" s="50"/>
    </row>
    <row r="21" spans="2:8">
      <c r="B21" s="50"/>
      <c r="C21" s="64">
        <v>55</v>
      </c>
      <c r="D21" s="53">
        <v>8</v>
      </c>
      <c r="E21" s="53">
        <v>12</v>
      </c>
      <c r="F21" s="53">
        <v>8</v>
      </c>
      <c r="G21" s="65">
        <v>16</v>
      </c>
      <c r="H21" s="50"/>
    </row>
    <row r="22" spans="2:8">
      <c r="B22" s="50"/>
      <c r="C22" s="64">
        <v>21</v>
      </c>
      <c r="D22" s="53">
        <v>52</v>
      </c>
      <c r="E22" s="53">
        <v>22</v>
      </c>
      <c r="F22" s="53">
        <v>58</v>
      </c>
      <c r="G22" s="65">
        <v>13</v>
      </c>
      <c r="H22" s="50"/>
    </row>
    <row r="23" spans="2:8">
      <c r="B23" s="50"/>
      <c r="C23" s="64">
        <v>84</v>
      </c>
      <c r="D23" s="53">
        <v>32</v>
      </c>
      <c r="E23" s="53">
        <v>8</v>
      </c>
      <c r="F23" s="53">
        <v>30</v>
      </c>
      <c r="G23" s="65">
        <v>12</v>
      </c>
      <c r="H23" s="50"/>
    </row>
    <row r="24" spans="2:8">
      <c r="B24" s="50"/>
      <c r="C24" s="64">
        <v>76</v>
      </c>
      <c r="D24" s="53">
        <v>97</v>
      </c>
      <c r="E24" s="53">
        <v>96</v>
      </c>
      <c r="F24" s="53">
        <v>81</v>
      </c>
      <c r="G24" s="65">
        <v>14</v>
      </c>
      <c r="H24" s="50"/>
    </row>
    <row r="25" spans="2:8">
      <c r="B25" s="50"/>
      <c r="C25" s="64">
        <v>42</v>
      </c>
      <c r="D25" s="53">
        <v>38</v>
      </c>
      <c r="E25" s="53">
        <v>66</v>
      </c>
      <c r="F25" s="53">
        <v>10</v>
      </c>
      <c r="G25" s="65">
        <v>50</v>
      </c>
      <c r="H25" s="50"/>
    </row>
    <row r="26" spans="2:8">
      <c r="B26" s="50"/>
      <c r="C26" s="66">
        <v>28</v>
      </c>
      <c r="D26" s="67">
        <v>14</v>
      </c>
      <c r="E26" s="67">
        <v>87</v>
      </c>
      <c r="F26" s="67">
        <v>80</v>
      </c>
      <c r="G26" s="68">
        <v>24</v>
      </c>
      <c r="H26" s="50"/>
    </row>
    <row r="27" spans="2:8">
      <c r="B27" s="185"/>
      <c r="C27" s="178"/>
      <c r="D27" s="50"/>
      <c r="E27" s="50"/>
      <c r="F27" s="50"/>
      <c r="G27" s="50"/>
      <c r="H27" s="50"/>
    </row>
    <row r="28" spans="2:8">
      <c r="B28" s="50"/>
      <c r="C28" s="50" t="s">
        <v>66</v>
      </c>
      <c r="D28" s="50"/>
      <c r="E28" s="50"/>
      <c r="F28" s="50"/>
      <c r="G28" s="50"/>
      <c r="H28" s="50"/>
    </row>
    <row r="29" spans="2:8">
      <c r="B29" s="50"/>
      <c r="C29" s="50" t="s">
        <v>67</v>
      </c>
      <c r="D29" s="50"/>
      <c r="E29" s="50"/>
      <c r="F29" s="50"/>
      <c r="G29" s="50"/>
      <c r="H29" s="50"/>
    </row>
    <row r="30" spans="2:8">
      <c r="B30" s="185"/>
      <c r="C30" s="178"/>
      <c r="D30" s="50"/>
      <c r="E30" s="50"/>
      <c r="F30" s="50"/>
      <c r="G30" s="50"/>
      <c r="H30" s="50"/>
    </row>
    <row r="31" spans="2:8">
      <c r="B31" s="185"/>
      <c r="C31" s="178"/>
      <c r="D31" s="166">
        <f>MAX(C18:G26)</f>
        <v>100</v>
      </c>
      <c r="E31" s="50" t="s">
        <v>68</v>
      </c>
      <c r="F31" s="50"/>
      <c r="G31" s="50"/>
      <c r="H31" s="55"/>
    </row>
  </sheetData>
  <mergeCells count="4">
    <mergeCell ref="B17:C17"/>
    <mergeCell ref="B27:C27"/>
    <mergeCell ref="B30:C30"/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G31"/>
  <sheetViews>
    <sheetView topLeftCell="A12" workbookViewId="0">
      <selection activeCell="C27" sqref="C27"/>
    </sheetView>
  </sheetViews>
  <sheetFormatPr defaultColWidth="14.44140625" defaultRowHeight="15" customHeight="1"/>
  <sheetData>
    <row r="2" spans="2:7">
      <c r="B2" s="56" t="s">
        <v>40</v>
      </c>
      <c r="C2" s="56" t="s">
        <v>41</v>
      </c>
      <c r="D2" s="185"/>
      <c r="E2" s="178"/>
      <c r="F2" s="50"/>
      <c r="G2" s="50"/>
    </row>
    <row r="3" spans="2:7">
      <c r="B3" s="57" t="s">
        <v>42</v>
      </c>
      <c r="C3" s="58">
        <v>3</v>
      </c>
      <c r="D3" s="185"/>
      <c r="E3" s="178"/>
      <c r="F3" s="50"/>
      <c r="G3" s="50"/>
    </row>
    <row r="4" spans="2:7">
      <c r="B4" s="57" t="s">
        <v>43</v>
      </c>
      <c r="C4" s="58">
        <v>5</v>
      </c>
      <c r="D4" s="185"/>
      <c r="E4" s="178"/>
      <c r="F4" s="50"/>
      <c r="G4" s="50"/>
    </row>
    <row r="5" spans="2:7">
      <c r="B5" s="57" t="s">
        <v>44</v>
      </c>
      <c r="C5" s="58">
        <v>2</v>
      </c>
      <c r="D5" s="185"/>
      <c r="E5" s="178"/>
      <c r="F5" s="50"/>
      <c r="G5" s="50"/>
    </row>
    <row r="6" spans="2:7">
      <c r="B6" s="57" t="s">
        <v>45</v>
      </c>
      <c r="C6" s="58">
        <v>6</v>
      </c>
      <c r="D6" s="185"/>
      <c r="E6" s="178"/>
      <c r="F6" s="50"/>
      <c r="G6" s="50"/>
    </row>
    <row r="7" spans="2:7">
      <c r="B7" s="57" t="s">
        <v>46</v>
      </c>
      <c r="C7" s="58">
        <v>8</v>
      </c>
      <c r="D7" s="185"/>
      <c r="E7" s="178"/>
      <c r="F7" s="50"/>
      <c r="G7" s="50"/>
    </row>
    <row r="8" spans="2:7">
      <c r="B8" s="57" t="s">
        <v>69</v>
      </c>
      <c r="C8" s="59">
        <f>MIN(C3:C7)</f>
        <v>2</v>
      </c>
      <c r="D8" s="186" t="s">
        <v>48</v>
      </c>
      <c r="E8" s="178"/>
      <c r="F8" s="50"/>
      <c r="G8" s="50"/>
    </row>
    <row r="13" spans="2:7">
      <c r="B13" s="51" t="s">
        <v>70</v>
      </c>
      <c r="C13" s="50"/>
      <c r="D13" s="50"/>
      <c r="E13" s="50"/>
      <c r="F13" s="50"/>
    </row>
    <row r="14" spans="2:7">
      <c r="B14" s="50"/>
      <c r="C14" s="50"/>
      <c r="D14" s="50"/>
      <c r="E14" s="50"/>
      <c r="F14" s="50"/>
    </row>
    <row r="15" spans="2:7">
      <c r="B15" s="69">
        <v>47</v>
      </c>
      <c r="C15" s="70">
        <v>115</v>
      </c>
      <c r="D15" s="70">
        <v>290</v>
      </c>
      <c r="E15" s="70">
        <v>112</v>
      </c>
      <c r="F15" s="71">
        <v>367</v>
      </c>
    </row>
    <row r="16" spans="2:7">
      <c r="B16" s="72">
        <v>130</v>
      </c>
      <c r="C16" s="73">
        <v>48</v>
      </c>
      <c r="D16" s="73">
        <v>139</v>
      </c>
      <c r="E16" s="73">
        <v>352</v>
      </c>
      <c r="F16" s="74">
        <v>119</v>
      </c>
    </row>
    <row r="17" spans="2:6">
      <c r="B17" s="72">
        <v>324</v>
      </c>
      <c r="C17" s="73">
        <v>219</v>
      </c>
      <c r="D17" s="73">
        <v>351</v>
      </c>
      <c r="E17" s="73">
        <v>123</v>
      </c>
      <c r="F17" s="74">
        <v>372</v>
      </c>
    </row>
    <row r="18" spans="2:6">
      <c r="B18" s="72">
        <v>8</v>
      </c>
      <c r="C18" s="73">
        <v>11</v>
      </c>
      <c r="D18" s="73">
        <v>283</v>
      </c>
      <c r="E18" s="73">
        <v>248</v>
      </c>
      <c r="F18" s="74">
        <v>34</v>
      </c>
    </row>
    <row r="19" spans="2:6">
      <c r="B19" s="72">
        <v>183</v>
      </c>
      <c r="C19" s="73">
        <v>373</v>
      </c>
      <c r="D19" s="73">
        <v>200</v>
      </c>
      <c r="E19" s="73">
        <v>146</v>
      </c>
      <c r="F19" s="74">
        <v>42</v>
      </c>
    </row>
    <row r="20" spans="2:6">
      <c r="B20" s="72">
        <v>355</v>
      </c>
      <c r="C20" s="73">
        <v>317</v>
      </c>
      <c r="D20" s="73">
        <v>287</v>
      </c>
      <c r="E20" s="73">
        <v>94</v>
      </c>
      <c r="F20" s="74">
        <v>154</v>
      </c>
    </row>
    <row r="21" spans="2:6">
      <c r="B21" s="72">
        <v>371</v>
      </c>
      <c r="C21" s="73">
        <v>190</v>
      </c>
      <c r="D21" s="73">
        <v>311</v>
      </c>
      <c r="E21" s="73">
        <v>308</v>
      </c>
      <c r="F21" s="74">
        <v>31</v>
      </c>
    </row>
    <row r="22" spans="2:6">
      <c r="B22" s="72">
        <v>236</v>
      </c>
      <c r="C22" s="73">
        <v>89</v>
      </c>
      <c r="D22" s="73">
        <v>272</v>
      </c>
      <c r="E22" s="73">
        <v>197</v>
      </c>
      <c r="F22" s="74">
        <v>98</v>
      </c>
    </row>
    <row r="23" spans="2:6">
      <c r="B23" s="72">
        <v>49</v>
      </c>
      <c r="C23" s="73">
        <v>97</v>
      </c>
      <c r="D23" s="73">
        <v>259</v>
      </c>
      <c r="E23" s="73">
        <v>226</v>
      </c>
      <c r="F23" s="74">
        <v>160</v>
      </c>
    </row>
    <row r="24" spans="2:6">
      <c r="B24" s="75">
        <v>288</v>
      </c>
      <c r="C24" s="76">
        <v>218</v>
      </c>
      <c r="D24" s="76">
        <v>351</v>
      </c>
      <c r="E24" s="76">
        <v>60</v>
      </c>
      <c r="F24" s="77">
        <v>125</v>
      </c>
    </row>
    <row r="25" spans="2:6">
      <c r="B25" s="50"/>
      <c r="C25" s="78" t="s">
        <v>71</v>
      </c>
      <c r="D25" s="78"/>
      <c r="E25" s="78"/>
      <c r="F25" s="50"/>
    </row>
    <row r="26" spans="2:6">
      <c r="B26" s="51" t="s">
        <v>72</v>
      </c>
      <c r="C26" s="167">
        <f>MIN(B15:F24)</f>
        <v>8</v>
      </c>
      <c r="D26" s="50"/>
      <c r="E26" s="50"/>
      <c r="F26" s="50"/>
    </row>
    <row r="27" spans="2:6">
      <c r="B27" s="50"/>
      <c r="C27" s="50"/>
      <c r="D27" s="50"/>
      <c r="E27" s="50"/>
      <c r="F27" s="50"/>
    </row>
    <row r="28" spans="2:6">
      <c r="B28" s="50"/>
      <c r="C28" s="78"/>
      <c r="D28" s="78"/>
      <c r="E28" s="78"/>
      <c r="F28" s="78"/>
    </row>
    <row r="29" spans="2:6">
      <c r="B29" s="50"/>
      <c r="C29" s="78"/>
      <c r="D29" s="78"/>
      <c r="E29" s="78"/>
      <c r="F29" s="78"/>
    </row>
    <row r="30" spans="2:6">
      <c r="B30" s="50"/>
      <c r="C30" s="50"/>
      <c r="D30" s="50"/>
      <c r="E30" s="50"/>
      <c r="F30" s="50"/>
    </row>
    <row r="31" spans="2:6">
      <c r="B31" s="50"/>
      <c r="C31" s="50"/>
      <c r="D31" s="50"/>
      <c r="E31" s="50"/>
      <c r="F31" s="50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2"/>
  <sheetViews>
    <sheetView workbookViewId="0">
      <selection activeCell="C33" sqref="C33"/>
    </sheetView>
  </sheetViews>
  <sheetFormatPr defaultColWidth="14.44140625" defaultRowHeight="15" customHeight="1"/>
  <cols>
    <col min="1" max="1" width="22.6640625" customWidth="1"/>
    <col min="7" max="7" width="21.109375" customWidth="1"/>
  </cols>
  <sheetData>
    <row r="1" spans="1:10" ht="15" customHeight="1">
      <c r="A1" s="79" t="s">
        <v>73</v>
      </c>
      <c r="B1" s="80"/>
      <c r="C1" s="80"/>
      <c r="G1" s="79" t="s">
        <v>74</v>
      </c>
      <c r="H1" s="80"/>
      <c r="I1" s="80"/>
      <c r="J1" s="81"/>
    </row>
    <row r="2" spans="1:10" ht="14.4">
      <c r="A2" s="50"/>
      <c r="B2" s="50" t="s">
        <v>75</v>
      </c>
      <c r="C2" s="50"/>
      <c r="G2" s="50"/>
      <c r="H2" s="53">
        <v>1</v>
      </c>
      <c r="I2" s="50"/>
    </row>
    <row r="3" spans="1:10" ht="14.4">
      <c r="A3" s="50"/>
      <c r="B3" s="50" t="s">
        <v>76</v>
      </c>
      <c r="C3" s="50"/>
      <c r="G3" s="50"/>
      <c r="H3" s="50" t="s">
        <v>77</v>
      </c>
      <c r="I3" s="50"/>
    </row>
    <row r="4" spans="1:10" ht="14.4">
      <c r="A4" s="50"/>
      <c r="B4" s="50" t="s">
        <v>78</v>
      </c>
      <c r="C4" s="50"/>
      <c r="G4" s="50"/>
      <c r="H4" s="53">
        <v>3</v>
      </c>
      <c r="I4" s="50"/>
    </row>
    <row r="5" spans="1:10" ht="14.4">
      <c r="A5" s="50"/>
      <c r="B5" s="50" t="s">
        <v>79</v>
      </c>
      <c r="C5" s="50"/>
      <c r="G5" s="50"/>
      <c r="H5" s="50" t="s">
        <v>80</v>
      </c>
      <c r="I5" s="50"/>
    </row>
    <row r="6" spans="1:10" ht="14.4">
      <c r="A6" s="50"/>
      <c r="B6" s="50" t="s">
        <v>81</v>
      </c>
      <c r="C6" s="50"/>
      <c r="G6" s="50"/>
      <c r="H6" s="53">
        <v>5</v>
      </c>
      <c r="I6" s="50"/>
    </row>
    <row r="7" spans="1:10" ht="14.4">
      <c r="A7" s="50"/>
      <c r="B7" s="50" t="s">
        <v>82</v>
      </c>
      <c r="C7" s="50"/>
      <c r="G7" s="50"/>
      <c r="H7" s="50" t="s">
        <v>83</v>
      </c>
      <c r="I7" s="50"/>
    </row>
    <row r="8" spans="1:10" ht="15" customHeight="1">
      <c r="A8" s="50" t="s">
        <v>84</v>
      </c>
      <c r="B8" s="59">
        <f>COUNTA(B2:B7)</f>
        <v>6</v>
      </c>
      <c r="C8" s="79" t="s">
        <v>48</v>
      </c>
      <c r="G8" s="50"/>
      <c r="H8" s="50" t="s">
        <v>85</v>
      </c>
      <c r="I8" s="50"/>
    </row>
    <row r="9" spans="1:10" ht="14.4">
      <c r="G9" s="50"/>
      <c r="H9" s="53">
        <v>8</v>
      </c>
      <c r="I9" s="50"/>
    </row>
    <row r="10" spans="1:10" ht="15" customHeight="1">
      <c r="G10" s="50" t="s">
        <v>86</v>
      </c>
      <c r="H10" s="59">
        <f>COUNT(H2:H9)</f>
        <v>4</v>
      </c>
      <c r="I10" s="79" t="s">
        <v>48</v>
      </c>
    </row>
    <row r="17" spans="2:9" ht="14.4">
      <c r="B17" s="50"/>
      <c r="C17" s="60" t="s">
        <v>87</v>
      </c>
      <c r="D17" s="50"/>
      <c r="E17" s="50"/>
      <c r="F17" s="50"/>
      <c r="G17" s="50"/>
      <c r="H17" s="50"/>
      <c r="I17" s="55"/>
    </row>
    <row r="18" spans="2:9" ht="14.4">
      <c r="B18" s="50"/>
      <c r="C18" s="50" t="s">
        <v>88</v>
      </c>
      <c r="D18" s="50"/>
      <c r="E18" s="50"/>
      <c r="F18" s="50"/>
      <c r="G18" s="50"/>
      <c r="H18" s="50"/>
      <c r="I18" s="50"/>
    </row>
    <row r="19" spans="2:9" ht="14.4">
      <c r="B19" s="50"/>
      <c r="C19" s="50"/>
      <c r="D19" s="50"/>
      <c r="E19" s="50"/>
      <c r="F19" s="50"/>
      <c r="G19" s="50"/>
      <c r="H19" s="50"/>
      <c r="I19" s="50"/>
    </row>
    <row r="20" spans="2:9" ht="14.4">
      <c r="B20" s="50"/>
      <c r="C20" s="82">
        <v>999</v>
      </c>
      <c r="D20" s="83" t="s">
        <v>89</v>
      </c>
      <c r="E20" s="83">
        <v>999</v>
      </c>
      <c r="F20" s="83">
        <v>999</v>
      </c>
      <c r="G20" s="83" t="s">
        <v>89</v>
      </c>
      <c r="H20" s="84">
        <v>999</v>
      </c>
      <c r="I20" s="50"/>
    </row>
    <row r="21" spans="2:9" ht="14.4">
      <c r="B21" s="50"/>
      <c r="C21" s="85">
        <v>999</v>
      </c>
      <c r="D21" s="86">
        <v>999</v>
      </c>
      <c r="E21" s="86">
        <v>999</v>
      </c>
      <c r="F21" s="86">
        <v>999</v>
      </c>
      <c r="G21" s="86">
        <v>999</v>
      </c>
      <c r="H21" s="87">
        <v>999</v>
      </c>
      <c r="I21" s="50"/>
    </row>
    <row r="22" spans="2:9" ht="14.4">
      <c r="B22" s="50"/>
      <c r="C22" s="85" t="s">
        <v>89</v>
      </c>
      <c r="D22" s="86">
        <v>999</v>
      </c>
      <c r="E22" s="86">
        <v>999</v>
      </c>
      <c r="F22" s="86">
        <v>999</v>
      </c>
      <c r="G22" s="86">
        <v>999</v>
      </c>
      <c r="H22" s="87" t="s">
        <v>89</v>
      </c>
      <c r="I22" s="50"/>
    </row>
    <row r="23" spans="2:9" ht="14.4">
      <c r="B23" s="50"/>
      <c r="C23" s="85">
        <v>999</v>
      </c>
      <c r="D23" s="86">
        <v>999</v>
      </c>
      <c r="E23" s="86">
        <v>999</v>
      </c>
      <c r="F23" s="86">
        <v>999</v>
      </c>
      <c r="G23" s="86">
        <v>999</v>
      </c>
      <c r="H23" s="87">
        <v>999</v>
      </c>
      <c r="I23" s="50"/>
    </row>
    <row r="24" spans="2:9" ht="14.4">
      <c r="B24" s="50"/>
      <c r="C24" s="85">
        <v>999</v>
      </c>
      <c r="D24" s="86">
        <v>999</v>
      </c>
      <c r="E24" s="86">
        <v>999</v>
      </c>
      <c r="F24" s="86">
        <v>999</v>
      </c>
      <c r="G24" s="86">
        <v>999</v>
      </c>
      <c r="H24" s="87">
        <v>999</v>
      </c>
      <c r="I24" s="50"/>
    </row>
    <row r="25" spans="2:9" ht="14.4">
      <c r="B25" s="50"/>
      <c r="C25" s="85">
        <v>999</v>
      </c>
      <c r="D25" s="86">
        <v>999</v>
      </c>
      <c r="E25" s="86">
        <v>999</v>
      </c>
      <c r="F25" s="86">
        <v>999</v>
      </c>
      <c r="G25" s="86">
        <v>999</v>
      </c>
      <c r="H25" s="87">
        <v>999</v>
      </c>
      <c r="I25" s="50"/>
    </row>
    <row r="26" spans="2:9" ht="14.4">
      <c r="B26" s="50"/>
      <c r="C26" s="85">
        <v>999</v>
      </c>
      <c r="D26" s="86">
        <v>999</v>
      </c>
      <c r="E26" s="86">
        <v>999</v>
      </c>
      <c r="F26" s="86">
        <v>999</v>
      </c>
      <c r="G26" s="86">
        <v>999</v>
      </c>
      <c r="H26" s="87">
        <v>999</v>
      </c>
      <c r="I26" s="50"/>
    </row>
    <row r="27" spans="2:9" ht="14.4">
      <c r="B27" s="50"/>
      <c r="C27" s="85" t="s">
        <v>89</v>
      </c>
      <c r="D27" s="86">
        <v>999</v>
      </c>
      <c r="E27" s="86">
        <v>999</v>
      </c>
      <c r="F27" s="86">
        <v>999</v>
      </c>
      <c r="G27" s="86">
        <v>999</v>
      </c>
      <c r="H27" s="87" t="s">
        <v>89</v>
      </c>
      <c r="I27" s="50"/>
    </row>
    <row r="28" spans="2:9" ht="14.4">
      <c r="B28" s="50"/>
      <c r="C28" s="85">
        <v>999</v>
      </c>
      <c r="D28" s="86">
        <v>999</v>
      </c>
      <c r="E28" s="86">
        <v>999</v>
      </c>
      <c r="F28" s="86">
        <v>999</v>
      </c>
      <c r="G28" s="86">
        <v>999</v>
      </c>
      <c r="H28" s="87">
        <v>999</v>
      </c>
      <c r="I28" s="50"/>
    </row>
    <row r="29" spans="2:9" ht="14.4">
      <c r="B29" s="50"/>
      <c r="C29" s="88">
        <v>999</v>
      </c>
      <c r="D29" s="89" t="s">
        <v>89</v>
      </c>
      <c r="E29" s="89">
        <v>999</v>
      </c>
      <c r="F29" s="89">
        <v>999</v>
      </c>
      <c r="G29" s="89" t="s">
        <v>89</v>
      </c>
      <c r="H29" s="90">
        <v>999</v>
      </c>
      <c r="I29" s="50"/>
    </row>
    <row r="30" spans="2:9" ht="14.4">
      <c r="B30" s="50"/>
      <c r="C30" s="50"/>
      <c r="D30" s="50"/>
      <c r="E30" s="50"/>
      <c r="F30" s="50"/>
      <c r="G30" s="50"/>
      <c r="H30" s="50"/>
      <c r="I30" s="50"/>
    </row>
    <row r="31" spans="2:9" ht="14.4">
      <c r="B31" s="50"/>
      <c r="C31" s="51" t="s">
        <v>90</v>
      </c>
      <c r="D31" s="50"/>
      <c r="E31" s="50"/>
      <c r="F31" s="50"/>
      <c r="G31" s="50"/>
      <c r="H31" s="50"/>
      <c r="I31" s="50"/>
    </row>
    <row r="32" spans="2:9" ht="14.4">
      <c r="B32" s="50"/>
      <c r="C32" s="91">
        <f>COUNT(C20:H29)</f>
        <v>52</v>
      </c>
      <c r="D32" s="50" t="s">
        <v>91</v>
      </c>
      <c r="E32" s="50"/>
      <c r="F32" s="50"/>
      <c r="G32" s="92" t="s">
        <v>92</v>
      </c>
      <c r="H32" s="50"/>
      <c r="I32" s="50"/>
    </row>
  </sheetData>
  <hyperlinks>
    <hyperlink ref="G32" r:id="rId1" location="COUNT2 Answer!A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selection activeCell="B11" sqref="B11"/>
    </sheetView>
  </sheetViews>
  <sheetFormatPr defaultColWidth="14.44140625" defaultRowHeight="15" customHeight="1"/>
  <sheetData>
    <row r="1" spans="1:3">
      <c r="A1" s="51" t="s">
        <v>93</v>
      </c>
      <c r="B1" s="50"/>
      <c r="C1" s="50"/>
    </row>
    <row r="2" spans="1:3">
      <c r="A2" s="51" t="s">
        <v>40</v>
      </c>
      <c r="B2" s="51" t="s">
        <v>94</v>
      </c>
      <c r="C2" s="50"/>
    </row>
    <row r="3" spans="1:3">
      <c r="A3" s="50" t="s">
        <v>95</v>
      </c>
      <c r="B3" s="53">
        <v>20</v>
      </c>
      <c r="C3" s="50"/>
    </row>
    <row r="4" spans="1:3">
      <c r="A4" s="50" t="s">
        <v>96</v>
      </c>
      <c r="B4" s="53">
        <v>16</v>
      </c>
      <c r="C4" s="50"/>
    </row>
    <row r="5" spans="1:3">
      <c r="A5" s="50" t="s">
        <v>97</v>
      </c>
      <c r="B5" s="53">
        <v>19</v>
      </c>
      <c r="C5" s="50"/>
    </row>
    <row r="6" spans="1:3">
      <c r="A6" s="50" t="s">
        <v>98</v>
      </c>
      <c r="B6" s="53">
        <v>3</v>
      </c>
      <c r="C6" s="50"/>
    </row>
    <row r="7" spans="1:3">
      <c r="A7" s="50" t="s">
        <v>99</v>
      </c>
      <c r="B7" s="53">
        <v>9</v>
      </c>
      <c r="C7" s="50"/>
    </row>
    <row r="8" spans="1:3">
      <c r="A8" s="50" t="s">
        <v>100</v>
      </c>
      <c r="B8" s="53">
        <v>7</v>
      </c>
      <c r="C8" s="50"/>
    </row>
    <row r="9" spans="1:3">
      <c r="A9" s="50" t="s">
        <v>101</v>
      </c>
      <c r="B9" s="53">
        <v>12</v>
      </c>
      <c r="C9" s="50"/>
    </row>
    <row r="10" spans="1:3">
      <c r="A10" s="50" t="s">
        <v>102</v>
      </c>
      <c r="B10" s="93">
        <f>AVERAGE(B3:B9)</f>
        <v>12.285714285714286</v>
      </c>
      <c r="C10" s="51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C4:J70"/>
  <sheetViews>
    <sheetView topLeftCell="A19" zoomScale="95" workbookViewId="0">
      <selection activeCell="D31" sqref="D31"/>
    </sheetView>
  </sheetViews>
  <sheetFormatPr defaultColWidth="14.44140625" defaultRowHeight="15" customHeight="1"/>
  <cols>
    <col min="3" max="3" width="18.5546875" customWidth="1"/>
    <col min="4" max="4" width="22.88671875" customWidth="1"/>
    <col min="6" max="6" width="21" customWidth="1"/>
    <col min="7" max="7" width="32.88671875" customWidth="1"/>
    <col min="10" max="10" width="44" customWidth="1"/>
  </cols>
  <sheetData>
    <row r="4" spans="4:10" ht="14.4">
      <c r="D4" s="188" t="s">
        <v>103</v>
      </c>
      <c r="E4" s="172"/>
      <c r="F4" s="172"/>
      <c r="G4" s="172"/>
      <c r="H4" s="172"/>
      <c r="I4" s="172"/>
      <c r="J4" s="173"/>
    </row>
    <row r="5" spans="4:10" ht="14.4">
      <c r="D5" s="177"/>
      <c r="E5" s="178"/>
      <c r="F5" s="178"/>
      <c r="G5" s="178"/>
      <c r="H5" s="178"/>
      <c r="I5" s="178"/>
      <c r="J5" s="179"/>
    </row>
    <row r="6" spans="4:10" ht="14.4">
      <c r="D6" s="94"/>
      <c r="E6" s="95"/>
      <c r="F6" s="95"/>
      <c r="G6" s="95"/>
      <c r="H6" s="95"/>
      <c r="I6" s="95"/>
      <c r="J6" s="96"/>
    </row>
    <row r="7" spans="4:10" ht="14.4">
      <c r="D7" s="189" t="s">
        <v>104</v>
      </c>
      <c r="E7" s="178"/>
      <c r="F7" s="178"/>
      <c r="G7" s="178"/>
      <c r="H7" s="178"/>
      <c r="I7" s="178"/>
      <c r="J7" s="179"/>
    </row>
    <row r="8" spans="4:10" ht="1.5" customHeight="1">
      <c r="D8" s="174"/>
      <c r="E8" s="175"/>
      <c r="F8" s="175"/>
      <c r="G8" s="175"/>
      <c r="H8" s="175"/>
      <c r="I8" s="175"/>
      <c r="J8" s="176"/>
    </row>
    <row r="10" spans="4:10" ht="15.6">
      <c r="D10" s="97"/>
      <c r="E10" s="98"/>
      <c r="F10" s="99"/>
      <c r="G10" s="99"/>
      <c r="H10" s="38"/>
      <c r="I10" s="39"/>
    </row>
    <row r="11" spans="4:10" ht="14.4">
      <c r="D11" s="100"/>
      <c r="E11" s="51" t="s">
        <v>40</v>
      </c>
      <c r="F11" s="51" t="s">
        <v>94</v>
      </c>
      <c r="G11" s="51" t="s">
        <v>105</v>
      </c>
      <c r="I11" s="101"/>
    </row>
    <row r="12" spans="4:10" ht="14.4">
      <c r="D12" s="100"/>
      <c r="E12" s="50" t="s">
        <v>106</v>
      </c>
      <c r="F12" s="53">
        <v>12</v>
      </c>
      <c r="G12" s="102" t="str">
        <f>IF(F12&lt;18,"ELIGIBAL","NOT ELIGIBLE")</f>
        <v>ELIGIBAL</v>
      </c>
      <c r="I12" s="101"/>
    </row>
    <row r="13" spans="4:10" ht="14.4">
      <c r="D13" s="100"/>
      <c r="E13" s="50" t="s">
        <v>107</v>
      </c>
      <c r="F13" s="53">
        <v>23</v>
      </c>
      <c r="G13" s="102" t="str">
        <f>IF(F13&lt;18,"ELIGIBAL","NOT ELIGIBLE")</f>
        <v>NOT ELIGIBLE</v>
      </c>
      <c r="I13" s="101"/>
    </row>
    <row r="14" spans="4:10" ht="14.4">
      <c r="D14" s="103"/>
      <c r="E14" s="50"/>
      <c r="F14" s="53"/>
      <c r="G14" s="53"/>
      <c r="I14" s="101"/>
    </row>
    <row r="15" spans="4:10" ht="14.4">
      <c r="D15" s="104"/>
      <c r="E15" s="51" t="s">
        <v>108</v>
      </c>
      <c r="F15" s="186" t="s">
        <v>109</v>
      </c>
      <c r="G15" s="178"/>
      <c r="I15" s="101"/>
    </row>
    <row r="16" spans="4:10" ht="14.4">
      <c r="D16" s="104"/>
      <c r="E16" s="50"/>
      <c r="F16" s="53"/>
      <c r="G16" s="50"/>
      <c r="I16" s="101"/>
    </row>
    <row r="17" spans="3:9" ht="14.4">
      <c r="D17" s="105"/>
      <c r="E17" s="106"/>
      <c r="F17" s="67"/>
      <c r="G17" s="106"/>
      <c r="H17" s="107"/>
      <c r="I17" s="49"/>
    </row>
    <row r="18" spans="3:9" ht="14.4">
      <c r="E18" s="50"/>
      <c r="F18" s="53"/>
      <c r="G18" s="50"/>
    </row>
    <row r="19" spans="3:9" ht="14.4">
      <c r="E19" s="50"/>
      <c r="F19" s="108"/>
      <c r="G19" s="51"/>
    </row>
    <row r="22" spans="3:9" ht="14.4">
      <c r="C22" s="190" t="s">
        <v>110</v>
      </c>
      <c r="D22" s="172"/>
      <c r="E22" s="172"/>
      <c r="F22" s="172"/>
      <c r="G22" s="173"/>
      <c r="H22" s="50"/>
    </row>
    <row r="23" spans="3:9" ht="14.4">
      <c r="C23" s="177"/>
      <c r="D23" s="178"/>
      <c r="E23" s="178"/>
      <c r="F23" s="178"/>
      <c r="G23" s="179"/>
      <c r="H23" s="50"/>
    </row>
    <row r="24" spans="3:9" ht="14.4">
      <c r="C24" s="177"/>
      <c r="D24" s="178"/>
      <c r="E24" s="178"/>
      <c r="F24" s="178"/>
      <c r="G24" s="179"/>
      <c r="H24" s="50"/>
    </row>
    <row r="25" spans="3:9" ht="14.4">
      <c r="C25" s="174"/>
      <c r="D25" s="175"/>
      <c r="E25" s="175"/>
      <c r="F25" s="175"/>
      <c r="G25" s="176"/>
      <c r="H25" s="50"/>
    </row>
    <row r="26" spans="3:9" ht="14.4">
      <c r="C26" s="50"/>
      <c r="D26" s="50"/>
      <c r="E26" s="50"/>
      <c r="F26" s="50"/>
      <c r="G26" s="50"/>
      <c r="H26" s="50"/>
    </row>
    <row r="27" spans="3:9" ht="14.4">
      <c r="C27" s="50"/>
      <c r="D27" s="50"/>
      <c r="E27" s="50"/>
      <c r="F27" s="50"/>
      <c r="G27" s="50"/>
      <c r="H27" s="50"/>
    </row>
    <row r="28" spans="3:9" ht="14.4">
      <c r="C28" s="109" t="s">
        <v>111</v>
      </c>
      <c r="D28" s="110"/>
      <c r="E28" s="110"/>
      <c r="F28" s="110"/>
      <c r="G28" s="110"/>
      <c r="H28" s="50"/>
    </row>
    <row r="29" spans="3:9" ht="14.4">
      <c r="C29" s="111" t="s">
        <v>112</v>
      </c>
      <c r="D29" s="63">
        <v>57</v>
      </c>
      <c r="E29" s="191" t="s">
        <v>113</v>
      </c>
      <c r="F29" s="172"/>
      <c r="G29" s="173"/>
      <c r="H29" s="50"/>
    </row>
    <row r="30" spans="3:9" ht="14.4">
      <c r="C30" s="100" t="s">
        <v>114</v>
      </c>
      <c r="D30" s="112" t="s">
        <v>385</v>
      </c>
      <c r="E30" s="177"/>
      <c r="F30" s="178"/>
      <c r="G30" s="179"/>
      <c r="H30" s="50"/>
    </row>
    <row r="31" spans="3:9" ht="14.4">
      <c r="C31" s="113" t="s">
        <v>115</v>
      </c>
      <c r="D31" s="68">
        <v>4.5999999999999996</v>
      </c>
      <c r="E31" s="174"/>
      <c r="F31" s="175"/>
      <c r="G31" s="176"/>
      <c r="H31" s="50"/>
    </row>
    <row r="32" spans="3:9" ht="14.4">
      <c r="C32" s="50"/>
      <c r="D32" s="50"/>
      <c r="E32" s="50"/>
      <c r="F32" s="50"/>
      <c r="G32" s="50"/>
      <c r="H32" s="50"/>
    </row>
    <row r="33" spans="3:8" ht="14.4">
      <c r="C33" s="50"/>
      <c r="D33" s="50"/>
      <c r="E33" s="187" t="s">
        <v>116</v>
      </c>
      <c r="F33" s="178"/>
      <c r="G33" s="178"/>
      <c r="H33" s="178"/>
    </row>
    <row r="34" spans="3:8" ht="14.4">
      <c r="C34" s="51" t="s">
        <v>117</v>
      </c>
      <c r="D34" s="115" t="str">
        <f>IF(D30="FULL-TIME",IF(D31&gt;4.5,"GET DISCOUNT","NOT GET DISCOUNT"),"NOT GET DISCOUNT")</f>
        <v>GET DISCOUNT</v>
      </c>
      <c r="E34" s="178"/>
      <c r="F34" s="178"/>
      <c r="G34" s="178"/>
      <c r="H34" s="178"/>
    </row>
    <row r="35" spans="3:8" ht="14.4">
      <c r="C35" s="50"/>
      <c r="D35" s="50"/>
      <c r="E35" s="178"/>
      <c r="F35" s="178"/>
      <c r="G35" s="178"/>
      <c r="H35" s="178"/>
    </row>
    <row r="36" spans="3:8" ht="14.4">
      <c r="C36" s="50"/>
      <c r="D36" s="50"/>
      <c r="E36" s="51"/>
      <c r="F36" s="51"/>
      <c r="G36" s="51"/>
      <c r="H36" s="51"/>
    </row>
    <row r="37" spans="3:8" ht="14.4">
      <c r="C37" s="50"/>
      <c r="D37" s="50"/>
      <c r="E37" s="51"/>
      <c r="F37" s="51"/>
      <c r="G37" s="51"/>
      <c r="H37" s="51"/>
    </row>
    <row r="38" spans="3:8" ht="14.4">
      <c r="C38" s="50" t="s">
        <v>118</v>
      </c>
      <c r="D38" s="50"/>
      <c r="E38" s="50"/>
      <c r="F38" s="50"/>
      <c r="G38" s="50"/>
      <c r="H38" s="50"/>
    </row>
    <row r="39" spans="3:8" ht="14.4">
      <c r="C39" s="50"/>
      <c r="D39" s="50"/>
      <c r="E39" s="50"/>
      <c r="F39" s="50"/>
      <c r="G39" s="50"/>
      <c r="H39" s="50"/>
    </row>
    <row r="70" spans="3:3" ht="14.4">
      <c r="C70" s="27" t="s">
        <v>119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2"/>
  <sheetViews>
    <sheetView topLeftCell="A4" workbookViewId="0">
      <selection activeCell="B23" sqref="B23"/>
    </sheetView>
  </sheetViews>
  <sheetFormatPr defaultColWidth="14.44140625" defaultRowHeight="15" customHeight="1"/>
  <sheetData>
    <row r="1" spans="1:12">
      <c r="A1" s="51" t="s">
        <v>120</v>
      </c>
      <c r="B1" s="50"/>
      <c r="C1" s="50"/>
      <c r="D1" s="50"/>
      <c r="G1" s="51" t="s">
        <v>121</v>
      </c>
      <c r="H1" s="50"/>
      <c r="I1" s="50"/>
      <c r="J1" s="50"/>
      <c r="K1" s="50"/>
      <c r="L1" s="50"/>
    </row>
    <row r="2" spans="1:12">
      <c r="A2" s="51" t="s">
        <v>122</v>
      </c>
      <c r="B2" s="51" t="s">
        <v>123</v>
      </c>
      <c r="C2" s="51" t="s">
        <v>124</v>
      </c>
      <c r="D2" s="50"/>
      <c r="G2" s="51" t="s">
        <v>125</v>
      </c>
      <c r="H2" s="51" t="s">
        <v>126</v>
      </c>
      <c r="I2" s="51" t="s">
        <v>127</v>
      </c>
      <c r="J2" s="50"/>
      <c r="K2" s="50"/>
      <c r="L2" s="50"/>
    </row>
    <row r="3" spans="1:12">
      <c r="A3" s="50" t="s">
        <v>128</v>
      </c>
      <c r="B3" s="50" t="s">
        <v>129</v>
      </c>
      <c r="C3" s="53">
        <v>10</v>
      </c>
      <c r="D3" s="50"/>
      <c r="G3" s="50" t="s">
        <v>130</v>
      </c>
      <c r="H3" s="50" t="s">
        <v>97</v>
      </c>
      <c r="I3" s="53">
        <v>77</v>
      </c>
      <c r="J3" s="50"/>
      <c r="K3" s="50"/>
      <c r="L3" s="50"/>
    </row>
    <row r="4" spans="1:12">
      <c r="A4" s="50" t="s">
        <v>131</v>
      </c>
      <c r="B4" s="50" t="s">
        <v>132</v>
      </c>
      <c r="C4" s="53">
        <v>20</v>
      </c>
      <c r="D4" s="50"/>
      <c r="G4" s="50" t="s">
        <v>133</v>
      </c>
      <c r="H4" s="50" t="s">
        <v>134</v>
      </c>
      <c r="I4" s="53">
        <v>71</v>
      </c>
      <c r="J4" s="50"/>
      <c r="K4" s="50"/>
      <c r="L4" s="50"/>
    </row>
    <row r="5" spans="1:12">
      <c r="A5" s="50" t="s">
        <v>135</v>
      </c>
      <c r="B5" s="50" t="s">
        <v>129</v>
      </c>
      <c r="C5" s="53">
        <v>15</v>
      </c>
      <c r="D5" s="50"/>
      <c r="G5" s="50" t="s">
        <v>136</v>
      </c>
      <c r="H5" s="50" t="s">
        <v>137</v>
      </c>
      <c r="I5" s="53">
        <v>75</v>
      </c>
      <c r="J5" s="50"/>
      <c r="K5" s="50"/>
      <c r="L5" s="50"/>
    </row>
    <row r="6" spans="1:12">
      <c r="A6" s="50" t="s">
        <v>138</v>
      </c>
      <c r="B6" s="50" t="s">
        <v>132</v>
      </c>
      <c r="C6" s="53">
        <v>17</v>
      </c>
      <c r="D6" s="50"/>
      <c r="G6" s="50" t="s">
        <v>130</v>
      </c>
      <c r="H6" s="50" t="s">
        <v>139</v>
      </c>
      <c r="I6" s="53">
        <v>67</v>
      </c>
      <c r="J6" s="50"/>
      <c r="K6" s="50"/>
      <c r="L6" s="50"/>
    </row>
    <row r="7" spans="1:12">
      <c r="A7" s="50" t="s">
        <v>140</v>
      </c>
      <c r="B7" s="50" t="s">
        <v>129</v>
      </c>
      <c r="C7" s="53">
        <v>44</v>
      </c>
      <c r="D7" s="50"/>
      <c r="G7" s="50" t="s">
        <v>133</v>
      </c>
      <c r="H7" s="50" t="s">
        <v>46</v>
      </c>
      <c r="I7" s="53">
        <v>89</v>
      </c>
      <c r="J7" s="50"/>
      <c r="K7" s="50"/>
      <c r="L7" s="50"/>
    </row>
    <row r="8" spans="1:12">
      <c r="A8" s="50" t="s">
        <v>141</v>
      </c>
      <c r="B8" s="50" t="s">
        <v>132</v>
      </c>
      <c r="C8" s="53">
        <v>90</v>
      </c>
      <c r="D8" s="50"/>
      <c r="G8" s="50" t="s">
        <v>142</v>
      </c>
      <c r="H8" s="50" t="s">
        <v>143</v>
      </c>
      <c r="I8" s="53">
        <v>87</v>
      </c>
      <c r="J8" s="50"/>
      <c r="K8" s="50"/>
      <c r="L8" s="50"/>
    </row>
    <row r="9" spans="1:12">
      <c r="A9" s="50"/>
      <c r="B9" s="51" t="s">
        <v>144</v>
      </c>
      <c r="C9" s="93">
        <f>SUMIF(B3:B8,"Yellow",C3:C8)</f>
        <v>127</v>
      </c>
      <c r="D9" s="51" t="s">
        <v>48</v>
      </c>
      <c r="G9" s="50" t="s">
        <v>145</v>
      </c>
      <c r="H9" s="50" t="s">
        <v>146</v>
      </c>
      <c r="I9" s="53">
        <v>77</v>
      </c>
      <c r="J9" s="50"/>
      <c r="K9" s="50"/>
      <c r="L9" s="50"/>
    </row>
    <row r="10" spans="1:12">
      <c r="G10" s="50" t="s">
        <v>130</v>
      </c>
      <c r="H10" s="50" t="s">
        <v>147</v>
      </c>
      <c r="I10" s="53">
        <v>60</v>
      </c>
      <c r="J10" s="50"/>
      <c r="K10" s="50"/>
      <c r="L10" s="50"/>
    </row>
    <row r="11" spans="1:12">
      <c r="G11" s="50" t="s">
        <v>133</v>
      </c>
      <c r="H11" s="50" t="s">
        <v>148</v>
      </c>
      <c r="I11" s="53">
        <v>83</v>
      </c>
      <c r="J11" s="50"/>
      <c r="K11" s="50"/>
      <c r="L11" s="50"/>
    </row>
    <row r="12" spans="1:12">
      <c r="G12" s="50"/>
      <c r="H12" s="51" t="s">
        <v>149</v>
      </c>
      <c r="I12" s="50"/>
      <c r="J12" s="50"/>
      <c r="K12" s="50"/>
      <c r="L12" s="50"/>
    </row>
    <row r="13" spans="1:12">
      <c r="G13" s="50"/>
      <c r="H13" s="51"/>
      <c r="I13" s="93">
        <f>AVERAGEIF(G3:G11,"Ohio",I3:I11)</f>
        <v>81</v>
      </c>
      <c r="J13" s="51" t="s">
        <v>150</v>
      </c>
      <c r="K13" s="50"/>
      <c r="L13" s="50"/>
    </row>
    <row r="14" spans="1:12">
      <c r="A14" s="51" t="s">
        <v>151</v>
      </c>
      <c r="B14" s="50"/>
      <c r="C14" s="50"/>
      <c r="G14" s="50"/>
      <c r="H14" s="50"/>
      <c r="I14" s="50"/>
      <c r="J14" s="50"/>
      <c r="K14" s="50"/>
      <c r="L14" s="50"/>
    </row>
    <row r="15" spans="1:12">
      <c r="A15" s="51" t="s">
        <v>122</v>
      </c>
      <c r="B15" s="51" t="s">
        <v>123</v>
      </c>
      <c r="C15" s="50"/>
    </row>
    <row r="16" spans="1:12">
      <c r="A16" s="50" t="s">
        <v>128</v>
      </c>
      <c r="B16" s="50" t="s">
        <v>129</v>
      </c>
      <c r="C16" s="50"/>
    </row>
    <row r="17" spans="1:3">
      <c r="A17" s="50" t="s">
        <v>131</v>
      </c>
      <c r="B17" s="50" t="s">
        <v>132</v>
      </c>
      <c r="C17" s="50"/>
    </row>
    <row r="18" spans="1:3">
      <c r="A18" s="50" t="s">
        <v>135</v>
      </c>
      <c r="B18" s="50" t="s">
        <v>129</v>
      </c>
      <c r="C18" s="50"/>
    </row>
    <row r="19" spans="1:3">
      <c r="A19" s="50" t="s">
        <v>138</v>
      </c>
      <c r="B19" s="50" t="s">
        <v>132</v>
      </c>
      <c r="C19" s="50"/>
    </row>
    <row r="20" spans="1:3">
      <c r="A20" s="50" t="s">
        <v>140</v>
      </c>
      <c r="B20" s="50" t="s">
        <v>129</v>
      </c>
      <c r="C20" s="50"/>
    </row>
    <row r="21" spans="1:3">
      <c r="A21" s="50" t="s">
        <v>141</v>
      </c>
      <c r="B21" s="50" t="s">
        <v>132</v>
      </c>
      <c r="C21" s="50"/>
    </row>
    <row r="22" spans="1:3">
      <c r="A22" s="50" t="s">
        <v>152</v>
      </c>
      <c r="B22" s="93">
        <f>COUNTIF(B16:B21,"Yellow")</f>
        <v>3</v>
      </c>
      <c r="C22" s="51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3:M36"/>
  <sheetViews>
    <sheetView topLeftCell="A15" workbookViewId="0">
      <selection activeCell="E37" sqref="E37"/>
    </sheetView>
  </sheetViews>
  <sheetFormatPr defaultColWidth="14.44140625" defaultRowHeight="15" customHeight="1"/>
  <sheetData>
    <row r="3" spans="3:13" ht="15" customHeight="1">
      <c r="C3" s="116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3:13" ht="15" customHeight="1">
      <c r="C4" s="117" t="s">
        <v>153</v>
      </c>
      <c r="D4" s="81"/>
      <c r="E4" s="81"/>
      <c r="F4" s="81"/>
      <c r="G4" s="81"/>
      <c r="H4" s="81"/>
      <c r="I4" s="81"/>
      <c r="J4" s="81"/>
      <c r="K4" s="81"/>
      <c r="L4" s="81"/>
      <c r="M4" s="81"/>
    </row>
    <row r="6" spans="3:13" ht="14.4">
      <c r="C6" s="51" t="s">
        <v>154</v>
      </c>
      <c r="D6" s="50"/>
      <c r="E6" s="50"/>
      <c r="F6" s="50"/>
      <c r="G6" s="50"/>
      <c r="H6" s="50"/>
    </row>
    <row r="7" spans="3:13" ht="14.4">
      <c r="C7" s="51" t="s">
        <v>155</v>
      </c>
      <c r="D7" s="50"/>
      <c r="E7" s="50"/>
      <c r="F7" s="50"/>
      <c r="G7" s="50"/>
      <c r="H7" s="50"/>
    </row>
    <row r="8" spans="3:13" ht="14.4">
      <c r="C8" s="56" t="s">
        <v>156</v>
      </c>
      <c r="D8" s="56" t="s">
        <v>157</v>
      </c>
      <c r="E8" s="56" t="s">
        <v>125</v>
      </c>
      <c r="F8" s="56" t="s">
        <v>51</v>
      </c>
      <c r="G8" s="50"/>
      <c r="H8" s="50"/>
    </row>
    <row r="9" spans="3:13" ht="14.4">
      <c r="C9" s="118">
        <v>1</v>
      </c>
      <c r="D9" s="57" t="s">
        <v>158</v>
      </c>
      <c r="E9" s="57" t="s">
        <v>159</v>
      </c>
      <c r="F9" s="119">
        <v>492</v>
      </c>
      <c r="G9" s="50"/>
      <c r="H9" s="50"/>
    </row>
    <row r="10" spans="3:13" ht="14.4">
      <c r="C10" s="118">
        <v>2</v>
      </c>
      <c r="D10" s="57" t="s">
        <v>160</v>
      </c>
      <c r="E10" s="57" t="s">
        <v>161</v>
      </c>
      <c r="F10" s="119">
        <v>124</v>
      </c>
      <c r="G10" s="50"/>
      <c r="H10" s="50"/>
    </row>
    <row r="11" spans="3:13" ht="14.4">
      <c r="C11" s="118">
        <v>3</v>
      </c>
      <c r="D11" s="57" t="s">
        <v>158</v>
      </c>
      <c r="E11" s="57" t="s">
        <v>162</v>
      </c>
      <c r="F11" s="119">
        <v>555</v>
      </c>
      <c r="G11" s="50"/>
      <c r="H11" s="50"/>
    </row>
    <row r="12" spans="3:13" ht="14.4">
      <c r="C12" s="118">
        <v>4</v>
      </c>
      <c r="D12" s="57" t="s">
        <v>158</v>
      </c>
      <c r="E12" s="57" t="s">
        <v>159</v>
      </c>
      <c r="F12" s="119">
        <v>100</v>
      </c>
      <c r="G12" s="50"/>
      <c r="H12" s="50"/>
    </row>
    <row r="13" spans="3:13" ht="14.4">
      <c r="C13" s="118">
        <v>5</v>
      </c>
      <c r="D13" s="57" t="s">
        <v>163</v>
      </c>
      <c r="E13" s="57" t="s">
        <v>159</v>
      </c>
      <c r="F13" s="119">
        <v>8</v>
      </c>
      <c r="G13" s="50"/>
      <c r="H13" s="50"/>
    </row>
    <row r="14" spans="3:13" ht="14.4">
      <c r="C14" s="118">
        <v>6</v>
      </c>
      <c r="D14" s="57" t="s">
        <v>163</v>
      </c>
      <c r="E14" s="57" t="s">
        <v>164</v>
      </c>
      <c r="F14" s="119">
        <v>201</v>
      </c>
      <c r="G14" s="50"/>
      <c r="H14" s="50"/>
    </row>
    <row r="15" spans="3:13" ht="14.4">
      <c r="C15" s="118">
        <v>7</v>
      </c>
      <c r="D15" s="57" t="s">
        <v>158</v>
      </c>
      <c r="E15" s="57" t="s">
        <v>159</v>
      </c>
      <c r="F15" s="119">
        <v>20</v>
      </c>
      <c r="G15" s="50"/>
      <c r="H15" s="50"/>
    </row>
    <row r="16" spans="3:13" ht="14.4">
      <c r="C16" s="118">
        <v>8</v>
      </c>
      <c r="D16" s="57" t="s">
        <v>160</v>
      </c>
      <c r="E16" s="57" t="s">
        <v>161</v>
      </c>
      <c r="F16" s="119">
        <v>43</v>
      </c>
      <c r="G16" s="50"/>
      <c r="H16" s="50"/>
    </row>
    <row r="17" spans="3:8" ht="14.4">
      <c r="C17" s="118">
        <v>9</v>
      </c>
      <c r="D17" s="57" t="s">
        <v>158</v>
      </c>
      <c r="E17" s="57" t="s">
        <v>161</v>
      </c>
      <c r="F17" s="119">
        <v>108</v>
      </c>
      <c r="G17" s="50"/>
      <c r="H17" s="50"/>
    </row>
    <row r="18" spans="3:8" ht="14.4">
      <c r="C18" s="118">
        <v>10</v>
      </c>
      <c r="D18" s="57" t="s">
        <v>163</v>
      </c>
      <c r="E18" s="57" t="s">
        <v>162</v>
      </c>
      <c r="F18" s="119">
        <v>172</v>
      </c>
      <c r="G18" s="50"/>
      <c r="H18" s="50"/>
    </row>
    <row r="19" spans="3:8" ht="14.4">
      <c r="C19" s="50"/>
      <c r="D19" s="50"/>
      <c r="E19" s="50"/>
      <c r="F19" s="50"/>
      <c r="G19" s="50"/>
      <c r="H19" s="50"/>
    </row>
    <row r="20" spans="3:8" ht="14.4">
      <c r="C20" s="50"/>
      <c r="D20" s="50"/>
      <c r="E20" s="50"/>
      <c r="F20" s="50"/>
      <c r="G20" s="50"/>
      <c r="H20" s="50"/>
    </row>
    <row r="21" spans="3:8" ht="14.4">
      <c r="C21" s="50"/>
      <c r="D21" s="50" t="s">
        <v>117</v>
      </c>
      <c r="E21" s="93">
        <f>SUMIFS(F9:F18,D9:D18,"Gold",E9:E18,"NY")</f>
        <v>612</v>
      </c>
      <c r="F21" s="51" t="s">
        <v>150</v>
      </c>
      <c r="G21" s="50"/>
      <c r="H21" s="50"/>
    </row>
    <row r="25" spans="3:8" ht="17.399999999999999">
      <c r="C25" s="120" t="s">
        <v>165</v>
      </c>
    </row>
    <row r="27" spans="3:8" ht="14.4">
      <c r="C27" s="51" t="s">
        <v>166</v>
      </c>
      <c r="D27" s="50"/>
      <c r="E27" s="50"/>
      <c r="F27" s="50"/>
      <c r="G27" s="50"/>
      <c r="H27" s="50"/>
    </row>
    <row r="28" spans="3:8" ht="14.4">
      <c r="C28" s="56" t="s">
        <v>40</v>
      </c>
      <c r="D28" s="56" t="s">
        <v>167</v>
      </c>
      <c r="E28" s="56" t="s">
        <v>94</v>
      </c>
      <c r="F28" s="50"/>
      <c r="G28" s="50"/>
      <c r="H28" s="50"/>
    </row>
    <row r="29" spans="3:8" ht="14.4">
      <c r="C29" s="57" t="s">
        <v>168</v>
      </c>
      <c r="D29" s="57" t="s">
        <v>169</v>
      </c>
      <c r="E29" s="119">
        <v>12</v>
      </c>
      <c r="F29" s="50"/>
      <c r="G29" s="50"/>
      <c r="H29" s="50"/>
    </row>
    <row r="30" spans="3:8" ht="14.4">
      <c r="C30" s="57" t="s">
        <v>95</v>
      </c>
      <c r="D30" s="57" t="s">
        <v>169</v>
      </c>
      <c r="E30" s="119">
        <v>14</v>
      </c>
      <c r="F30" s="50"/>
      <c r="G30" s="50"/>
      <c r="H30" s="50"/>
    </row>
    <row r="31" spans="3:8" ht="14.4">
      <c r="C31" s="57" t="s">
        <v>170</v>
      </c>
      <c r="D31" s="57" t="s">
        <v>171</v>
      </c>
      <c r="E31" s="119">
        <v>24</v>
      </c>
      <c r="F31" s="50"/>
      <c r="G31" s="50"/>
      <c r="H31" s="50"/>
    </row>
    <row r="32" spans="3:8" ht="14.4">
      <c r="C32" s="57" t="s">
        <v>172</v>
      </c>
      <c r="D32" s="57" t="s">
        <v>171</v>
      </c>
      <c r="E32" s="119">
        <v>32</v>
      </c>
      <c r="F32" s="50"/>
      <c r="G32" s="50"/>
      <c r="H32" s="50"/>
    </row>
    <row r="33" spans="3:8" ht="14.4">
      <c r="C33" s="57" t="s">
        <v>173</v>
      </c>
      <c r="D33" s="57" t="s">
        <v>169</v>
      </c>
      <c r="E33" s="119">
        <v>12</v>
      </c>
      <c r="F33" s="50"/>
      <c r="G33" s="50"/>
      <c r="H33" s="50"/>
    </row>
    <row r="34" spans="3:8" ht="14.4">
      <c r="C34" s="57" t="s">
        <v>174</v>
      </c>
      <c r="D34" s="57" t="s">
        <v>169</v>
      </c>
      <c r="E34" s="119">
        <v>17</v>
      </c>
      <c r="F34" s="50"/>
      <c r="G34" s="50"/>
      <c r="H34" s="50"/>
    </row>
    <row r="35" spans="3:8" ht="14.4">
      <c r="C35" s="50"/>
      <c r="D35" s="50"/>
      <c r="E35" s="50"/>
      <c r="F35" s="50"/>
      <c r="G35" s="50"/>
      <c r="H35" s="50"/>
    </row>
    <row r="36" spans="3:8" ht="14.4">
      <c r="C36" s="50"/>
      <c r="D36" s="50" t="s">
        <v>117</v>
      </c>
      <c r="E36" s="93">
        <f>COUNTIFS(D29:D34,"Boy",E29:E34,"&gt;10")</f>
        <v>4</v>
      </c>
      <c r="F36" s="51" t="s">
        <v>175</v>
      </c>
      <c r="G36" s="50"/>
      <c r="H36" s="50"/>
    </row>
  </sheetData>
  <hyperlinks>
    <hyperlink ref="C4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"/>
  <sheetViews>
    <sheetView workbookViewId="0">
      <selection activeCell="F15" sqref="F15"/>
    </sheetView>
  </sheetViews>
  <sheetFormatPr defaultColWidth="14.44140625" defaultRowHeight="15" customHeight="1"/>
  <sheetData>
    <row r="1" spans="1:7" ht="15" customHeight="1">
      <c r="A1" s="79" t="s">
        <v>176</v>
      </c>
      <c r="B1" s="51"/>
      <c r="C1" s="50"/>
      <c r="D1" s="50"/>
      <c r="E1" s="50"/>
    </row>
    <row r="2" spans="1:7" ht="14.4">
      <c r="A2" s="51"/>
      <c r="B2" s="51"/>
      <c r="C2" s="51"/>
      <c r="D2" s="51"/>
      <c r="E2" s="50"/>
    </row>
    <row r="3" spans="1:7" ht="18">
      <c r="A3" s="114" t="s">
        <v>177</v>
      </c>
      <c r="B3" s="114" t="s">
        <v>178</v>
      </c>
      <c r="C3" s="51"/>
      <c r="D3" s="51"/>
      <c r="E3" s="50"/>
      <c r="F3" s="168" t="s">
        <v>387</v>
      </c>
      <c r="G3" s="168"/>
    </row>
    <row r="4" spans="1:7" ht="15" customHeight="1">
      <c r="A4" s="121">
        <v>40</v>
      </c>
      <c r="B4" s="121">
        <v>25</v>
      </c>
      <c r="C4" s="122" t="str">
        <f>IF(AND(A4&gt;30,B4&gt;30),"GOOD","BAD")</f>
        <v>BAD</v>
      </c>
      <c r="D4" s="123" t="s">
        <v>150</v>
      </c>
      <c r="E4" s="50"/>
    </row>
    <row r="5" spans="1:7" ht="14.4">
      <c r="A5" s="50"/>
      <c r="B5" s="50"/>
      <c r="C5" s="110"/>
      <c r="D5" s="50"/>
      <c r="E5" s="50"/>
    </row>
    <row r="6" spans="1:7" ht="15" customHeight="1">
      <c r="A6" s="79" t="s">
        <v>179</v>
      </c>
      <c r="B6" s="50"/>
      <c r="C6" s="110"/>
      <c r="D6" s="50"/>
      <c r="E6" s="50"/>
    </row>
    <row r="7" spans="1:7" ht="14.4">
      <c r="A7" s="50"/>
      <c r="B7" s="50"/>
      <c r="C7" s="110"/>
      <c r="D7" s="50"/>
      <c r="E7" s="50"/>
    </row>
    <row r="8" spans="1:7" ht="18">
      <c r="A8" s="114" t="s">
        <v>177</v>
      </c>
      <c r="B8" s="114" t="s">
        <v>178</v>
      </c>
      <c r="C8" s="110"/>
      <c r="D8" s="50"/>
      <c r="E8" s="50"/>
      <c r="F8" s="168" t="s">
        <v>388</v>
      </c>
      <c r="G8" s="168"/>
    </row>
    <row r="9" spans="1:7" ht="15" customHeight="1">
      <c r="A9" s="121">
        <v>40</v>
      </c>
      <c r="B9" s="121">
        <v>25</v>
      </c>
      <c r="C9" s="122" t="str">
        <f>IF(OR(A9&gt;30,B9&gt;30),"GOOD","BAD")</f>
        <v>GOOD</v>
      </c>
      <c r="D9" s="123" t="s">
        <v>150</v>
      </c>
      <c r="E9" s="50"/>
    </row>
    <row r="10" spans="1:7" ht="14.4">
      <c r="A10" s="50"/>
      <c r="B10" s="50"/>
      <c r="C10" s="50"/>
      <c r="D10" s="50"/>
      <c r="E10" s="5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F19"/>
  <sheetViews>
    <sheetView workbookViewId="0">
      <selection activeCell="H15" sqref="H15"/>
    </sheetView>
  </sheetViews>
  <sheetFormatPr defaultColWidth="14.44140625" defaultRowHeight="15" customHeight="1"/>
  <sheetData>
    <row r="3" spans="1:6" ht="14.4">
      <c r="A3" s="51" t="s">
        <v>180</v>
      </c>
      <c r="B3" s="50"/>
      <c r="C3" s="50"/>
      <c r="D3" s="50"/>
      <c r="E3" s="50"/>
    </row>
    <row r="4" spans="1:6" ht="15" customHeight="1">
      <c r="A4" s="51"/>
      <c r="B4" s="50"/>
      <c r="C4" s="50"/>
      <c r="D4" s="170" t="s">
        <v>386</v>
      </c>
      <c r="E4" s="170"/>
      <c r="F4" s="168"/>
    </row>
    <row r="5" spans="1:6" ht="14.4">
      <c r="A5" s="56" t="s">
        <v>181</v>
      </c>
      <c r="B5" s="124" t="s">
        <v>182</v>
      </c>
      <c r="C5" s="50"/>
      <c r="D5" s="50"/>
      <c r="E5" s="50"/>
    </row>
    <row r="6" spans="1:6" ht="14.4">
      <c r="A6" s="57" t="s">
        <v>183</v>
      </c>
      <c r="B6" s="125" t="b">
        <f>ISBLANK(A6)</f>
        <v>0</v>
      </c>
      <c r="C6" s="51" t="s">
        <v>150</v>
      </c>
      <c r="D6" s="50"/>
      <c r="E6" s="50"/>
    </row>
    <row r="7" spans="1:6" ht="14.4">
      <c r="A7" s="57"/>
      <c r="B7" s="125" t="b">
        <f>ISBLANK(A7)</f>
        <v>1</v>
      </c>
      <c r="C7" s="51" t="s">
        <v>150</v>
      </c>
      <c r="D7" s="50"/>
      <c r="E7" s="50"/>
    </row>
    <row r="8" spans="1:6" ht="14.4">
      <c r="A8" s="50"/>
      <c r="B8" s="50"/>
      <c r="C8" s="50"/>
      <c r="D8" s="50"/>
      <c r="E8" s="50"/>
    </row>
    <row r="9" spans="1:6" ht="14.4">
      <c r="A9" s="50"/>
      <c r="B9" s="50"/>
      <c r="C9" s="50"/>
      <c r="D9" s="50"/>
      <c r="E9" s="50"/>
    </row>
    <row r="10" spans="1:6" ht="14.4">
      <c r="A10" s="50"/>
      <c r="B10" s="50"/>
      <c r="C10" s="50"/>
      <c r="D10" s="50"/>
      <c r="E10" s="50"/>
    </row>
    <row r="11" spans="1:6" ht="14.4">
      <c r="A11" s="50"/>
      <c r="B11" s="50"/>
      <c r="C11" s="50"/>
      <c r="D11" s="50"/>
      <c r="E11" s="50"/>
    </row>
    <row r="12" spans="1:6" ht="14.4">
      <c r="A12" s="50"/>
      <c r="B12" s="50"/>
      <c r="C12" s="50"/>
      <c r="D12" s="50"/>
      <c r="E12" s="50"/>
    </row>
    <row r="13" spans="1:6" ht="14.4">
      <c r="A13" s="51" t="s">
        <v>184</v>
      </c>
      <c r="B13" s="50"/>
      <c r="C13" s="50"/>
      <c r="D13" s="50"/>
      <c r="E13" s="50"/>
    </row>
    <row r="14" spans="1:6" ht="14.4">
      <c r="A14" s="51"/>
      <c r="B14" s="50"/>
      <c r="C14" s="50"/>
      <c r="D14" s="50"/>
      <c r="E14" s="50"/>
    </row>
    <row r="15" spans="1:6" ht="14.4">
      <c r="A15" s="56" t="s">
        <v>181</v>
      </c>
      <c r="B15" s="124" t="s">
        <v>182</v>
      </c>
      <c r="C15" s="50"/>
      <c r="D15" s="50"/>
      <c r="E15" s="50"/>
    </row>
    <row r="16" spans="1:6" ht="14.4">
      <c r="A16" s="57"/>
      <c r="B16" s="125" t="str">
        <f>IF(ISBLANK(A16),"NO DATA","CELL IS OK")</f>
        <v>NO DATA</v>
      </c>
      <c r="C16" s="51" t="s">
        <v>150</v>
      </c>
      <c r="D16" s="50"/>
      <c r="E16" s="50"/>
    </row>
    <row r="17" spans="1:5" ht="14.4">
      <c r="A17" s="57" t="s">
        <v>185</v>
      </c>
      <c r="B17" s="125" t="str">
        <f>IF(ISBLANK(A17),"NO DATA","CELL IS OK")</f>
        <v>CELL IS OK</v>
      </c>
      <c r="C17" s="51" t="s">
        <v>150</v>
      </c>
      <c r="D17" s="50"/>
      <c r="E17" s="50"/>
    </row>
    <row r="18" spans="1:5" ht="14.4">
      <c r="A18" s="50"/>
      <c r="B18" s="50"/>
      <c r="C18" s="50"/>
      <c r="D18" s="50"/>
      <c r="E18" s="50"/>
    </row>
    <row r="19" spans="1:5" ht="14.4">
      <c r="A19" s="50"/>
      <c r="B19" s="50"/>
      <c r="C19" s="50"/>
      <c r="D19" s="50"/>
      <c r="E19" s="5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14"/>
  <sheetViews>
    <sheetView workbookViewId="0">
      <selection activeCell="D16" sqref="D16"/>
    </sheetView>
  </sheetViews>
  <sheetFormatPr defaultColWidth="14.44140625" defaultRowHeight="15" customHeight="1"/>
  <cols>
    <col min="1" max="1" width="29" customWidth="1"/>
  </cols>
  <sheetData>
    <row r="1" spans="1:6">
      <c r="A1" s="51" t="s">
        <v>294</v>
      </c>
      <c r="B1" s="50"/>
      <c r="C1" s="50"/>
    </row>
    <row r="2" spans="1:6">
      <c r="A2" s="50"/>
      <c r="B2" s="50"/>
      <c r="C2" s="50"/>
      <c r="D2" s="169" t="s">
        <v>389</v>
      </c>
      <c r="E2" s="169"/>
      <c r="F2" s="169"/>
    </row>
    <row r="3" spans="1:6">
      <c r="A3" s="110" t="s">
        <v>295</v>
      </c>
      <c r="B3" s="93" t="str">
        <f>LEFT(A3,4)</f>
        <v>Lady</v>
      </c>
      <c r="C3" s="51" t="s">
        <v>48</v>
      </c>
    </row>
    <row r="4" spans="1:6">
      <c r="A4" s="50"/>
      <c r="B4" s="50"/>
      <c r="C4" s="50"/>
    </row>
    <row r="5" spans="1:6">
      <c r="A5" s="51" t="s">
        <v>296</v>
      </c>
      <c r="B5" s="50"/>
      <c r="C5" s="50"/>
    </row>
    <row r="6" spans="1:6">
      <c r="A6" s="50"/>
      <c r="B6" s="50"/>
      <c r="C6" s="50"/>
      <c r="D6" s="169" t="s">
        <v>390</v>
      </c>
    </row>
    <row r="7" spans="1:6">
      <c r="A7" s="110" t="s">
        <v>297</v>
      </c>
      <c r="B7" s="93" t="str">
        <f>RIGHT(A7,8)</f>
        <v>Zeppelin</v>
      </c>
      <c r="C7" s="51" t="s">
        <v>48</v>
      </c>
    </row>
    <row r="8" spans="1:6">
      <c r="A8" s="50"/>
      <c r="B8" s="50"/>
      <c r="C8" s="50"/>
    </row>
    <row r="9" spans="1:6">
      <c r="A9" s="51" t="s">
        <v>298</v>
      </c>
      <c r="B9" s="50"/>
      <c r="C9" s="50"/>
    </row>
    <row r="10" spans="1:6">
      <c r="A10" s="50"/>
      <c r="B10" s="50"/>
      <c r="C10" s="50"/>
    </row>
    <row r="11" spans="1:6">
      <c r="A11" s="50" t="s">
        <v>299</v>
      </c>
      <c r="B11" s="50"/>
      <c r="C11" s="50"/>
    </row>
    <row r="12" spans="1:6">
      <c r="A12" s="50"/>
      <c r="B12" s="50"/>
      <c r="C12" s="50"/>
    </row>
    <row r="13" spans="1:6">
      <c r="A13" s="93" t="str">
        <f>MID(A11:L11, 103, 26)</f>
        <v>I am absolutely amazing!!!</v>
      </c>
      <c r="B13" s="50"/>
      <c r="C13" s="50"/>
      <c r="D13" s="169" t="s">
        <v>391</v>
      </c>
    </row>
    <row r="14" spans="1:6">
      <c r="A14" s="51" t="s">
        <v>300</v>
      </c>
      <c r="B14" s="50"/>
      <c r="C14" s="5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3:K28"/>
  <sheetViews>
    <sheetView topLeftCell="A13" workbookViewId="0">
      <selection activeCell="D29" sqref="D29"/>
    </sheetView>
  </sheetViews>
  <sheetFormatPr defaultColWidth="14.44140625" defaultRowHeight="15" customHeight="1"/>
  <cols>
    <col min="3" max="3" width="24.109375" customWidth="1"/>
    <col min="4" max="4" width="24.33203125" customWidth="1"/>
    <col min="5" max="5" width="28.109375" customWidth="1"/>
    <col min="6" max="6" width="26.44140625" customWidth="1"/>
    <col min="7" max="7" width="29.5546875" customWidth="1"/>
  </cols>
  <sheetData>
    <row r="3" spans="2:11" ht="14.4">
      <c r="C3" s="171" t="s">
        <v>301</v>
      </c>
      <c r="D3" s="172"/>
      <c r="E3" s="172"/>
      <c r="F3" s="172"/>
      <c r="G3" s="172"/>
      <c r="H3" s="173"/>
    </row>
    <row r="4" spans="2:11" ht="14.4">
      <c r="C4" s="174"/>
      <c r="D4" s="175"/>
      <c r="E4" s="175"/>
      <c r="F4" s="175"/>
      <c r="G4" s="175"/>
      <c r="H4" s="176"/>
    </row>
    <row r="5" spans="2:11" ht="14.4">
      <c r="C5" s="50"/>
      <c r="D5" s="50"/>
      <c r="E5" s="50"/>
      <c r="F5" s="50"/>
      <c r="G5" s="50"/>
    </row>
    <row r="6" spans="2:11" ht="15" customHeight="1">
      <c r="B6" s="81"/>
      <c r="C6" s="80" t="s">
        <v>302</v>
      </c>
      <c r="D6" s="80"/>
      <c r="E6" s="80"/>
      <c r="F6" s="80"/>
      <c r="G6" s="80"/>
      <c r="H6" s="81"/>
      <c r="I6" s="81"/>
      <c r="J6" s="81"/>
    </row>
    <row r="7" spans="2:11" ht="14.4">
      <c r="C7" s="50"/>
      <c r="D7" s="50"/>
      <c r="E7" s="50"/>
      <c r="F7" s="50"/>
      <c r="G7" s="50"/>
    </row>
    <row r="8" spans="2:11" ht="14.4">
      <c r="C8" s="148" t="s">
        <v>303</v>
      </c>
      <c r="D8" s="148" t="s">
        <v>304</v>
      </c>
      <c r="E8" s="148" t="s">
        <v>305</v>
      </c>
      <c r="F8" s="56" t="s">
        <v>306</v>
      </c>
      <c r="G8" s="56" t="s">
        <v>307</v>
      </c>
    </row>
    <row r="9" spans="2:11" ht="14.4">
      <c r="C9" s="149" t="s">
        <v>308</v>
      </c>
      <c r="D9" s="149" t="s">
        <v>97</v>
      </c>
      <c r="E9" s="149" t="s">
        <v>309</v>
      </c>
      <c r="F9" s="59" t="str">
        <f>CONCATENATE(D9,E9)</f>
        <v>JohnSmith</v>
      </c>
      <c r="G9" s="59" t="str">
        <f>CONCATENATE(D9," ",E9)</f>
        <v>John Smith</v>
      </c>
    </row>
    <row r="10" spans="2:11" ht="14.4">
      <c r="C10" s="149" t="s">
        <v>310</v>
      </c>
      <c r="D10" s="149" t="s">
        <v>311</v>
      </c>
      <c r="E10" s="149" t="s">
        <v>312</v>
      </c>
      <c r="F10" s="59" t="str">
        <f t="shared" ref="F10:F11" si="0">CONCATENATE(D10,E10)</f>
        <v>JaneDoe</v>
      </c>
      <c r="G10" s="59" t="str">
        <f t="shared" ref="G10:G11" si="1">CONCATENATE(D10," ",E10)</f>
        <v>Jane Doe</v>
      </c>
    </row>
    <row r="11" spans="2:11" ht="14.4">
      <c r="C11" s="149" t="s">
        <v>313</v>
      </c>
      <c r="D11" s="149" t="s">
        <v>281</v>
      </c>
      <c r="E11" s="149" t="s">
        <v>314</v>
      </c>
      <c r="F11" s="59" t="str">
        <f t="shared" si="0"/>
        <v>BobJohnson</v>
      </c>
      <c r="G11" s="59" t="str">
        <f t="shared" si="1"/>
        <v>Bob Johnson</v>
      </c>
    </row>
    <row r="15" spans="2:11" ht="14.4">
      <c r="C15" s="171" t="s">
        <v>315</v>
      </c>
      <c r="D15" s="172"/>
      <c r="E15" s="173"/>
      <c r="G15" s="171" t="s">
        <v>316</v>
      </c>
      <c r="H15" s="172"/>
      <c r="I15" s="172"/>
      <c r="J15" s="172"/>
      <c r="K15" s="173"/>
    </row>
    <row r="16" spans="2:11" ht="14.4">
      <c r="C16" s="177"/>
      <c r="D16" s="178"/>
      <c r="E16" s="179"/>
      <c r="G16" s="177"/>
      <c r="H16" s="178"/>
      <c r="I16" s="178"/>
      <c r="J16" s="178"/>
      <c r="K16" s="179"/>
    </row>
    <row r="17" spans="3:11" ht="14.4">
      <c r="C17" s="174"/>
      <c r="D17" s="175"/>
      <c r="E17" s="176"/>
      <c r="G17" s="174"/>
      <c r="H17" s="175"/>
      <c r="I17" s="175"/>
      <c r="J17" s="175"/>
      <c r="K17" s="176"/>
    </row>
    <row r="18" spans="3:11" ht="15" customHeight="1">
      <c r="C18" s="150"/>
      <c r="D18" s="150"/>
      <c r="E18" s="150"/>
      <c r="F18" s="50"/>
      <c r="G18" s="50"/>
      <c r="H18" s="79"/>
      <c r="I18" s="80"/>
      <c r="J18" s="81"/>
    </row>
    <row r="19" spans="3:11" ht="15.6">
      <c r="C19" s="150" t="s">
        <v>317</v>
      </c>
      <c r="D19" s="150"/>
      <c r="E19" s="150"/>
      <c r="F19" s="50"/>
      <c r="G19" s="50"/>
      <c r="H19" s="50"/>
      <c r="I19" s="50"/>
    </row>
    <row r="20" spans="3:11" ht="14.4">
      <c r="C20" s="51"/>
      <c r="D20" s="50"/>
      <c r="E20" s="50"/>
      <c r="F20" s="50"/>
      <c r="G20" s="50"/>
      <c r="H20" s="56" t="s">
        <v>318</v>
      </c>
      <c r="I20" s="50"/>
    </row>
    <row r="21" spans="3:11" ht="14.4">
      <c r="C21" s="50"/>
      <c r="D21" s="56" t="s">
        <v>318</v>
      </c>
      <c r="E21" s="50"/>
      <c r="F21" s="50"/>
      <c r="G21" s="50"/>
      <c r="H21" s="57" t="s">
        <v>319</v>
      </c>
      <c r="I21" s="50"/>
    </row>
    <row r="22" spans="3:11" ht="14.4">
      <c r="C22" s="50"/>
      <c r="D22" s="57" t="s">
        <v>320</v>
      </c>
      <c r="E22" s="50"/>
      <c r="F22" s="50"/>
      <c r="G22" s="50"/>
      <c r="H22" s="57"/>
      <c r="I22" s="50"/>
    </row>
    <row r="23" spans="3:11" ht="14.4">
      <c r="C23" s="50"/>
      <c r="D23" s="57" t="s">
        <v>321</v>
      </c>
      <c r="E23" s="50"/>
      <c r="F23" s="50"/>
      <c r="G23" s="50"/>
      <c r="H23" s="57" t="s">
        <v>322</v>
      </c>
      <c r="I23" s="50"/>
    </row>
    <row r="24" spans="3:11" ht="14.4">
      <c r="C24" s="50"/>
      <c r="D24" s="57" t="s">
        <v>287</v>
      </c>
      <c r="E24" s="50"/>
      <c r="F24" s="50"/>
      <c r="G24" s="50"/>
      <c r="H24" s="57"/>
      <c r="I24" s="50"/>
    </row>
    <row r="25" spans="3:11" ht="14.4">
      <c r="C25" s="50"/>
      <c r="D25" s="57" t="s">
        <v>323</v>
      </c>
      <c r="E25" s="50"/>
      <c r="F25" s="50"/>
      <c r="G25" s="50"/>
      <c r="H25" s="57" t="s">
        <v>324</v>
      </c>
      <c r="I25" s="50"/>
    </row>
    <row r="26" spans="3:11" ht="14.4">
      <c r="C26" s="50"/>
      <c r="D26" s="57" t="s">
        <v>325</v>
      </c>
      <c r="E26" s="50"/>
      <c r="F26" s="50"/>
      <c r="G26" s="50"/>
      <c r="H26" s="57" t="s">
        <v>326</v>
      </c>
      <c r="I26" s="50"/>
    </row>
    <row r="27" spans="3:11" ht="14.4">
      <c r="C27" s="50"/>
      <c r="D27" s="50"/>
      <c r="E27" s="50"/>
      <c r="F27" s="50"/>
      <c r="G27" s="50"/>
      <c r="H27" s="50"/>
      <c r="I27" s="50"/>
    </row>
    <row r="28" spans="3:11" ht="14.4">
      <c r="C28" s="50" t="s">
        <v>327</v>
      </c>
      <c r="D28" s="93" t="str">
        <f>_xlfn.TEXTJOIN(" ",TRUE,D22:D26)</f>
        <v>Mary had A Little Lamb</v>
      </c>
      <c r="E28" s="51" t="s">
        <v>233</v>
      </c>
      <c r="F28" s="50"/>
      <c r="G28" s="50"/>
      <c r="H28" s="93" t="str">
        <f>_xlfn.CONCAT(H21:H26)</f>
        <v>AreYou SleepingBrother John?</v>
      </c>
      <c r="I28" s="51" t="s">
        <v>328</v>
      </c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8"/>
  <sheetViews>
    <sheetView workbookViewId="0">
      <selection activeCell="L7" sqref="L7"/>
    </sheetView>
  </sheetViews>
  <sheetFormatPr defaultColWidth="14.44140625" defaultRowHeight="15" customHeight="1"/>
  <sheetData>
    <row r="1" spans="1:12">
      <c r="A1" s="97" t="s">
        <v>186</v>
      </c>
      <c r="B1" s="126" t="s">
        <v>40</v>
      </c>
      <c r="C1" s="193" t="s">
        <v>94</v>
      </c>
      <c r="D1" s="172"/>
      <c r="E1" s="173"/>
      <c r="G1" s="37"/>
      <c r="H1" s="127" t="s">
        <v>187</v>
      </c>
      <c r="I1" s="127"/>
      <c r="J1" s="127"/>
      <c r="K1" s="127"/>
      <c r="L1" s="128"/>
    </row>
    <row r="2" spans="1:12">
      <c r="A2" s="64">
        <v>15335</v>
      </c>
      <c r="B2" s="50" t="s">
        <v>44</v>
      </c>
      <c r="C2" s="192">
        <v>40</v>
      </c>
      <c r="D2" s="178"/>
      <c r="E2" s="179"/>
      <c r="G2" s="104"/>
      <c r="H2" s="50"/>
      <c r="I2" s="50"/>
      <c r="J2" s="50"/>
      <c r="K2" s="50"/>
      <c r="L2" s="112"/>
    </row>
    <row r="3" spans="1:12">
      <c r="A3" s="64">
        <v>57564</v>
      </c>
      <c r="B3" s="50" t="s">
        <v>95</v>
      </c>
      <c r="C3" s="192">
        <v>50</v>
      </c>
      <c r="D3" s="178"/>
      <c r="E3" s="179"/>
      <c r="G3" s="104"/>
      <c r="H3" s="51" t="s">
        <v>40</v>
      </c>
      <c r="I3" s="51" t="s">
        <v>188</v>
      </c>
      <c r="J3" s="50"/>
      <c r="K3" s="50"/>
      <c r="L3" s="112"/>
    </row>
    <row r="4" spans="1:12">
      <c r="A4" s="64">
        <v>73546</v>
      </c>
      <c r="B4" s="50" t="s">
        <v>42</v>
      </c>
      <c r="C4" s="192">
        <v>61</v>
      </c>
      <c r="D4" s="178"/>
      <c r="E4" s="179"/>
      <c r="G4" s="104"/>
      <c r="H4" s="50" t="s">
        <v>189</v>
      </c>
      <c r="I4" s="93" t="str">
        <f>VLOOKUP(H4,H10:J17,3,FALSE)</f>
        <v>Netflix</v>
      </c>
      <c r="J4" s="50"/>
      <c r="K4" s="50"/>
      <c r="L4" s="112"/>
    </row>
    <row r="5" spans="1:12">
      <c r="A5" s="64">
        <v>66475</v>
      </c>
      <c r="B5" s="50" t="s">
        <v>190</v>
      </c>
      <c r="C5" s="192">
        <v>23</v>
      </c>
      <c r="D5" s="178"/>
      <c r="E5" s="179"/>
      <c r="G5" s="104"/>
      <c r="H5" s="50" t="s">
        <v>191</v>
      </c>
      <c r="I5" s="93" t="str">
        <f>VLOOKUP(H5,H11:J18,3,FALSE)</f>
        <v>Disney</v>
      </c>
      <c r="J5" s="50"/>
      <c r="K5" s="50"/>
      <c r="L5" s="112"/>
    </row>
    <row r="6" spans="1:12">
      <c r="A6" s="64">
        <v>54746</v>
      </c>
      <c r="B6" s="50" t="s">
        <v>43</v>
      </c>
      <c r="C6" s="192">
        <v>30</v>
      </c>
      <c r="D6" s="178"/>
      <c r="E6" s="179"/>
      <c r="G6" s="104"/>
      <c r="H6" s="50"/>
      <c r="I6" s="50"/>
      <c r="J6" s="50"/>
      <c r="K6" s="50"/>
      <c r="L6" s="112"/>
    </row>
    <row r="7" spans="1:12">
      <c r="A7" s="100"/>
      <c r="B7" s="50"/>
      <c r="C7" s="185"/>
      <c r="D7" s="178"/>
      <c r="E7" s="179"/>
      <c r="G7" s="104"/>
      <c r="H7" s="50" t="s">
        <v>192</v>
      </c>
      <c r="I7" s="50"/>
      <c r="J7" s="50"/>
      <c r="K7" s="50"/>
      <c r="L7" s="112"/>
    </row>
    <row r="8" spans="1:12">
      <c r="A8" s="100"/>
      <c r="B8" s="50"/>
      <c r="C8" s="185"/>
      <c r="D8" s="178"/>
      <c r="E8" s="179"/>
      <c r="G8" s="104"/>
      <c r="H8" s="50"/>
      <c r="I8" s="50"/>
      <c r="J8" s="50"/>
      <c r="K8" s="50"/>
      <c r="L8" s="112"/>
    </row>
    <row r="9" spans="1:12">
      <c r="A9" s="103" t="s">
        <v>193</v>
      </c>
      <c r="B9" s="50"/>
      <c r="C9" s="185"/>
      <c r="D9" s="178"/>
      <c r="E9" s="179"/>
      <c r="G9" s="104"/>
      <c r="H9" s="126" t="s">
        <v>40</v>
      </c>
      <c r="I9" s="126" t="s">
        <v>94</v>
      </c>
      <c r="J9" s="126" t="s">
        <v>194</v>
      </c>
      <c r="K9" s="50"/>
      <c r="L9" s="112"/>
    </row>
    <row r="10" spans="1:12">
      <c r="A10" s="100"/>
      <c r="B10" s="50"/>
      <c r="C10" s="185"/>
      <c r="D10" s="178"/>
      <c r="E10" s="179"/>
      <c r="G10" s="104"/>
      <c r="H10" s="129" t="s">
        <v>195</v>
      </c>
      <c r="I10" s="130">
        <v>35</v>
      </c>
      <c r="J10" s="129" t="s">
        <v>196</v>
      </c>
      <c r="K10" s="50"/>
      <c r="L10" s="112"/>
    </row>
    <row r="11" spans="1:12">
      <c r="A11" s="103" t="s">
        <v>186</v>
      </c>
      <c r="B11" s="53">
        <v>15335</v>
      </c>
      <c r="C11" s="185"/>
      <c r="D11" s="178"/>
      <c r="E11" s="179"/>
      <c r="G11" s="104"/>
      <c r="H11" s="50" t="s">
        <v>197</v>
      </c>
      <c r="I11" s="53">
        <v>25</v>
      </c>
      <c r="J11" s="50" t="s">
        <v>198</v>
      </c>
      <c r="K11" s="50"/>
      <c r="L11" s="112"/>
    </row>
    <row r="12" spans="1:12">
      <c r="A12" s="103" t="s">
        <v>94</v>
      </c>
      <c r="B12" s="93">
        <f>VLOOKUP(B11, A2:E6, 3, FALSE)</f>
        <v>40</v>
      </c>
      <c r="C12" s="50"/>
      <c r="D12" s="186" t="s">
        <v>199</v>
      </c>
      <c r="E12" s="179"/>
      <c r="G12" s="104"/>
      <c r="H12" s="131" t="s">
        <v>44</v>
      </c>
      <c r="I12" s="132">
        <v>48</v>
      </c>
      <c r="J12" s="131" t="s">
        <v>200</v>
      </c>
      <c r="K12" s="50"/>
      <c r="L12" s="112"/>
    </row>
    <row r="13" spans="1:12">
      <c r="A13" s="104"/>
      <c r="E13" s="101"/>
      <c r="G13" s="104"/>
      <c r="H13" s="50" t="s">
        <v>201</v>
      </c>
      <c r="I13" s="53">
        <v>37</v>
      </c>
      <c r="J13" s="50" t="s">
        <v>202</v>
      </c>
      <c r="K13" s="50"/>
      <c r="L13" s="112"/>
    </row>
    <row r="14" spans="1:12">
      <c r="A14" s="105"/>
      <c r="B14" s="107"/>
      <c r="C14" s="107"/>
      <c r="D14" s="107"/>
      <c r="E14" s="49"/>
      <c r="G14" s="104"/>
      <c r="H14" s="131" t="s">
        <v>189</v>
      </c>
      <c r="I14" s="132">
        <v>52</v>
      </c>
      <c r="J14" s="131" t="s">
        <v>203</v>
      </c>
      <c r="K14" s="50"/>
      <c r="L14" s="112"/>
    </row>
    <row r="15" spans="1:12">
      <c r="G15" s="104"/>
      <c r="H15" s="50" t="s">
        <v>191</v>
      </c>
      <c r="I15" s="53">
        <v>32</v>
      </c>
      <c r="J15" s="50" t="s">
        <v>204</v>
      </c>
      <c r="K15" s="50"/>
      <c r="L15" s="112"/>
    </row>
    <row r="16" spans="1:12">
      <c r="G16" s="104"/>
      <c r="H16" s="131" t="s">
        <v>205</v>
      </c>
      <c r="I16" s="132">
        <v>33</v>
      </c>
      <c r="J16" s="131" t="s">
        <v>206</v>
      </c>
      <c r="K16" s="50"/>
      <c r="L16" s="112"/>
    </row>
    <row r="17" spans="7:12">
      <c r="G17" s="104"/>
      <c r="H17" s="106" t="s">
        <v>207</v>
      </c>
      <c r="I17" s="67">
        <v>45</v>
      </c>
      <c r="J17" s="106" t="s">
        <v>208</v>
      </c>
      <c r="K17" s="50"/>
      <c r="L17" s="112"/>
    </row>
    <row r="18" spans="7:12">
      <c r="G18" s="105"/>
      <c r="H18" s="107"/>
      <c r="I18" s="107"/>
      <c r="J18" s="107"/>
      <c r="K18" s="107"/>
      <c r="L18" s="49"/>
    </row>
  </sheetData>
  <mergeCells count="12">
    <mergeCell ref="C8:E8"/>
    <mergeCell ref="C9:E9"/>
    <mergeCell ref="C10:E10"/>
    <mergeCell ref="C11:E11"/>
    <mergeCell ref="D12:E12"/>
    <mergeCell ref="C6:E6"/>
    <mergeCell ref="C7:E7"/>
    <mergeCell ref="C1:E1"/>
    <mergeCell ref="C2:E2"/>
    <mergeCell ref="C3:E3"/>
    <mergeCell ref="C4:E4"/>
    <mergeCell ref="C5:E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2:S55"/>
  <sheetViews>
    <sheetView topLeftCell="F19" workbookViewId="0">
      <selection activeCell="M18" sqref="M18"/>
    </sheetView>
  </sheetViews>
  <sheetFormatPr defaultColWidth="14.44140625" defaultRowHeight="15" customHeight="1"/>
  <cols>
    <col min="5" max="5" width="31" customWidth="1"/>
  </cols>
  <sheetData>
    <row r="2" spans="2:19">
      <c r="B2" s="196" t="s">
        <v>209</v>
      </c>
      <c r="C2" s="172"/>
      <c r="D2" s="172"/>
      <c r="E2" s="172"/>
      <c r="F2" s="172"/>
      <c r="G2" s="172"/>
      <c r="H2" s="173"/>
      <c r="L2" s="196" t="s">
        <v>210</v>
      </c>
      <c r="M2" s="172"/>
      <c r="N2" s="172"/>
      <c r="O2" s="172"/>
      <c r="P2" s="172"/>
      <c r="Q2" s="172"/>
      <c r="R2" s="172"/>
      <c r="S2" s="173"/>
    </row>
    <row r="3" spans="2:19">
      <c r="B3" s="174"/>
      <c r="C3" s="175"/>
      <c r="D3" s="175"/>
      <c r="E3" s="175"/>
      <c r="F3" s="175"/>
      <c r="G3" s="175"/>
      <c r="H3" s="176"/>
      <c r="L3" s="177"/>
      <c r="M3" s="178"/>
      <c r="N3" s="178"/>
      <c r="O3" s="178"/>
      <c r="P3" s="178"/>
      <c r="Q3" s="178"/>
      <c r="R3" s="178"/>
      <c r="S3" s="179"/>
    </row>
    <row r="4" spans="2:19">
      <c r="L4" s="174"/>
      <c r="M4" s="175"/>
      <c r="N4" s="175"/>
      <c r="O4" s="175"/>
      <c r="P4" s="175"/>
      <c r="Q4" s="175"/>
      <c r="R4" s="175"/>
      <c r="S4" s="176"/>
    </row>
    <row r="5" spans="2:19">
      <c r="D5" s="133" t="s">
        <v>211</v>
      </c>
      <c r="E5" s="134"/>
      <c r="F5" s="194"/>
      <c r="G5" s="178"/>
    </row>
    <row r="6" spans="2:19">
      <c r="D6" s="135" t="s">
        <v>94</v>
      </c>
      <c r="E6" s="135" t="s">
        <v>40</v>
      </c>
      <c r="F6" s="194"/>
      <c r="G6" s="178"/>
      <c r="M6" s="51" t="s">
        <v>212</v>
      </c>
      <c r="N6" s="50"/>
      <c r="O6" s="50"/>
      <c r="P6" s="50"/>
      <c r="Q6" s="50"/>
    </row>
    <row r="7" spans="2:19">
      <c r="D7" s="136">
        <v>12</v>
      </c>
      <c r="E7" s="137" t="s">
        <v>97</v>
      </c>
      <c r="F7" s="194"/>
      <c r="G7" s="178"/>
      <c r="M7" s="50"/>
      <c r="N7" s="50"/>
      <c r="O7" s="50"/>
      <c r="P7" s="50"/>
      <c r="Q7" s="50"/>
    </row>
    <row r="8" spans="2:19">
      <c r="D8" s="136">
        <v>13</v>
      </c>
      <c r="E8" s="137" t="s">
        <v>213</v>
      </c>
      <c r="F8" s="194"/>
      <c r="G8" s="178"/>
      <c r="M8" s="138" t="s">
        <v>214</v>
      </c>
      <c r="N8" s="138" t="s">
        <v>157</v>
      </c>
      <c r="O8" s="138" t="s">
        <v>215</v>
      </c>
      <c r="P8" s="138" t="s">
        <v>216</v>
      </c>
      <c r="Q8" s="138" t="s">
        <v>217</v>
      </c>
    </row>
    <row r="9" spans="2:19">
      <c r="D9" s="136">
        <v>14</v>
      </c>
      <c r="E9" s="137" t="s">
        <v>134</v>
      </c>
      <c r="F9" s="194"/>
      <c r="G9" s="178"/>
      <c r="M9" s="57" t="s">
        <v>218</v>
      </c>
      <c r="N9" s="57" t="s">
        <v>219</v>
      </c>
      <c r="O9" s="58">
        <v>3343453</v>
      </c>
      <c r="P9" s="57" t="s">
        <v>220</v>
      </c>
      <c r="Q9" s="58">
        <v>2013</v>
      </c>
    </row>
    <row r="10" spans="2:19">
      <c r="D10" s="136">
        <v>12</v>
      </c>
      <c r="E10" s="137" t="s">
        <v>221</v>
      </c>
      <c r="F10" s="194"/>
      <c r="G10" s="178"/>
      <c r="M10" s="57" t="s">
        <v>222</v>
      </c>
      <c r="N10" s="57" t="s">
        <v>223</v>
      </c>
      <c r="O10" s="58">
        <v>5535334</v>
      </c>
      <c r="P10" s="57" t="s">
        <v>129</v>
      </c>
      <c r="Q10" s="58">
        <v>2015</v>
      </c>
    </row>
    <row r="11" spans="2:19">
      <c r="D11" s="136">
        <v>16</v>
      </c>
      <c r="E11" s="137" t="s">
        <v>100</v>
      </c>
      <c r="F11" s="194"/>
      <c r="G11" s="178"/>
      <c r="M11" s="57" t="s">
        <v>224</v>
      </c>
      <c r="N11" s="57" t="s">
        <v>225</v>
      </c>
      <c r="O11" s="58">
        <v>6474574</v>
      </c>
      <c r="P11" s="57" t="s">
        <v>220</v>
      </c>
      <c r="Q11" s="58">
        <v>2012</v>
      </c>
    </row>
    <row r="12" spans="2:19">
      <c r="D12" s="136">
        <v>15</v>
      </c>
      <c r="E12" s="137" t="s">
        <v>226</v>
      </c>
      <c r="F12" s="194"/>
      <c r="G12" s="178"/>
      <c r="M12" s="57" t="s">
        <v>227</v>
      </c>
      <c r="N12" s="57" t="s">
        <v>228</v>
      </c>
      <c r="O12" s="58">
        <v>5544667</v>
      </c>
      <c r="P12" s="57" t="s">
        <v>132</v>
      </c>
      <c r="Q12" s="58">
        <v>2014</v>
      </c>
    </row>
    <row r="13" spans="2:19">
      <c r="D13" s="134"/>
      <c r="E13" s="134"/>
      <c r="F13" s="194"/>
      <c r="G13" s="178"/>
      <c r="M13" s="57" t="s">
        <v>229</v>
      </c>
      <c r="N13" s="57" t="s">
        <v>230</v>
      </c>
      <c r="O13" s="58">
        <v>4356434</v>
      </c>
      <c r="P13" s="57" t="s">
        <v>231</v>
      </c>
      <c r="Q13" s="58">
        <v>2015</v>
      </c>
    </row>
    <row r="14" spans="2:19">
      <c r="D14" s="134" t="s">
        <v>232</v>
      </c>
      <c r="E14" s="137" t="s">
        <v>97</v>
      </c>
      <c r="F14" s="134"/>
      <c r="G14" s="139"/>
      <c r="M14" s="50"/>
      <c r="N14" s="50"/>
      <c r="O14" s="50"/>
      <c r="P14" s="50"/>
      <c r="Q14" s="50"/>
    </row>
    <row r="15" spans="2:19">
      <c r="D15" s="134" t="s">
        <v>94</v>
      </c>
      <c r="E15" s="140">
        <f>_xlfn.XLOOKUP(E14,E7:E12,D7:D12)</f>
        <v>12</v>
      </c>
      <c r="F15" s="134"/>
      <c r="G15" s="133" t="s">
        <v>233</v>
      </c>
      <c r="M15" s="50" t="s">
        <v>234</v>
      </c>
      <c r="N15" s="141">
        <v>3343453</v>
      </c>
      <c r="O15" s="50"/>
      <c r="P15" s="50"/>
      <c r="Q15" s="50"/>
    </row>
    <row r="16" spans="2:19">
      <c r="D16" s="134"/>
      <c r="F16" s="194"/>
      <c r="G16" s="178"/>
      <c r="M16" s="138" t="s">
        <v>214</v>
      </c>
      <c r="N16" s="138" t="s">
        <v>157</v>
      </c>
      <c r="O16" s="138" t="s">
        <v>215</v>
      </c>
      <c r="P16" s="138" t="s">
        <v>216</v>
      </c>
      <c r="Q16" s="138" t="s">
        <v>217</v>
      </c>
    </row>
    <row r="17" spans="2:19">
      <c r="D17" s="134"/>
      <c r="F17" s="194"/>
      <c r="G17" s="178"/>
      <c r="M17" s="59" t="str" cm="1">
        <f t="array" ref="M17:Q17">_xlfn.XLOOKUP(N15,O9:O13,M9:Q13,"no value found",0)</f>
        <v>Toyota</v>
      </c>
      <c r="N17" s="57" t="str">
        <v>Corola</v>
      </c>
      <c r="O17" s="57">
        <v>3343453</v>
      </c>
      <c r="P17" s="57" t="str">
        <v>Red</v>
      </c>
      <c r="Q17" s="57">
        <v>2013</v>
      </c>
    </row>
    <row r="18" spans="2:19">
      <c r="M18" s="51" t="s">
        <v>235</v>
      </c>
      <c r="N18" s="50"/>
      <c r="O18" s="50"/>
      <c r="P18" s="50"/>
      <c r="Q18" s="50"/>
    </row>
    <row r="21" spans="2:19">
      <c r="B21" s="195" t="s">
        <v>236</v>
      </c>
      <c r="C21" s="172"/>
      <c r="D21" s="172"/>
      <c r="E21" s="172"/>
      <c r="F21" s="172"/>
      <c r="G21" s="172"/>
      <c r="H21" s="173"/>
      <c r="L21" s="195" t="s">
        <v>237</v>
      </c>
      <c r="M21" s="172"/>
      <c r="N21" s="172"/>
      <c r="O21" s="172"/>
      <c r="P21" s="172"/>
      <c r="Q21" s="172"/>
      <c r="R21" s="172"/>
      <c r="S21" s="173"/>
    </row>
    <row r="22" spans="2:19">
      <c r="B22" s="174"/>
      <c r="C22" s="175"/>
      <c r="D22" s="175"/>
      <c r="E22" s="175"/>
      <c r="F22" s="175"/>
      <c r="G22" s="175"/>
      <c r="H22" s="176"/>
      <c r="L22" s="177"/>
      <c r="M22" s="178"/>
      <c r="N22" s="178"/>
      <c r="O22" s="178"/>
      <c r="P22" s="178"/>
      <c r="Q22" s="178"/>
      <c r="R22" s="178"/>
      <c r="S22" s="179"/>
    </row>
    <row r="23" spans="2:19">
      <c r="L23" s="177"/>
      <c r="M23" s="178"/>
      <c r="N23" s="178"/>
      <c r="O23" s="178"/>
      <c r="P23" s="178"/>
      <c r="Q23" s="178"/>
      <c r="R23" s="178"/>
      <c r="S23" s="179"/>
    </row>
    <row r="24" spans="2:19">
      <c r="C24" s="133" t="s">
        <v>238</v>
      </c>
      <c r="D24" s="134"/>
      <c r="E24" s="134"/>
      <c r="F24" s="134"/>
      <c r="L24" s="174"/>
      <c r="M24" s="175"/>
      <c r="N24" s="175"/>
      <c r="O24" s="175"/>
      <c r="P24" s="175"/>
      <c r="Q24" s="175"/>
      <c r="R24" s="175"/>
      <c r="S24" s="176"/>
    </row>
    <row r="25" spans="2:19">
      <c r="C25" s="134" t="s">
        <v>239</v>
      </c>
      <c r="D25" s="134"/>
      <c r="E25" s="134"/>
      <c r="F25" s="134"/>
    </row>
    <row r="26" spans="2:19">
      <c r="C26" s="134" t="s">
        <v>240</v>
      </c>
      <c r="D26" s="134"/>
      <c r="E26" s="134"/>
      <c r="F26" s="134"/>
      <c r="L26" s="27"/>
      <c r="M26" s="134" t="s">
        <v>241</v>
      </c>
      <c r="N26" s="134"/>
      <c r="O26" s="134"/>
      <c r="P26" s="134"/>
    </row>
    <row r="27" spans="2:19">
      <c r="C27" s="134"/>
      <c r="D27" s="134"/>
      <c r="E27" s="134"/>
      <c r="F27" s="134"/>
      <c r="M27" s="134" t="s">
        <v>242</v>
      </c>
      <c r="N27" s="134"/>
      <c r="O27" s="134"/>
      <c r="P27" s="134"/>
    </row>
    <row r="28" spans="2:19">
      <c r="C28" s="142" t="s">
        <v>40</v>
      </c>
      <c r="D28" s="142" t="s">
        <v>243</v>
      </c>
      <c r="E28" s="142" t="s">
        <v>244</v>
      </c>
      <c r="F28" s="134"/>
      <c r="M28" s="134"/>
      <c r="N28" s="134"/>
      <c r="O28" s="134"/>
      <c r="P28" s="134"/>
    </row>
    <row r="29" spans="2:19">
      <c r="C29" s="137" t="s">
        <v>101</v>
      </c>
      <c r="D29" s="137" t="s">
        <v>136</v>
      </c>
      <c r="E29" s="137" t="s">
        <v>231</v>
      </c>
      <c r="F29" s="134"/>
      <c r="M29" s="142" t="s">
        <v>40</v>
      </c>
      <c r="N29" s="142" t="s">
        <v>245</v>
      </c>
      <c r="O29" s="134"/>
      <c r="P29" s="134"/>
    </row>
    <row r="30" spans="2:19">
      <c r="C30" s="137" t="s">
        <v>134</v>
      </c>
      <c r="D30" s="137" t="s">
        <v>246</v>
      </c>
      <c r="E30" s="137" t="s">
        <v>247</v>
      </c>
      <c r="F30" s="134"/>
      <c r="M30" s="137" t="s">
        <v>101</v>
      </c>
      <c r="N30" s="137" t="s">
        <v>248</v>
      </c>
      <c r="O30" s="134"/>
      <c r="P30" s="134"/>
    </row>
    <row r="31" spans="2:19">
      <c r="C31" s="137" t="s">
        <v>249</v>
      </c>
      <c r="D31" s="137" t="s">
        <v>250</v>
      </c>
      <c r="E31" s="137" t="s">
        <v>220</v>
      </c>
      <c r="F31" s="134"/>
      <c r="M31" s="137" t="s">
        <v>134</v>
      </c>
      <c r="N31" s="137" t="s">
        <v>251</v>
      </c>
      <c r="O31" s="134"/>
      <c r="P31" s="134"/>
    </row>
    <row r="32" spans="2:19">
      <c r="C32" s="137" t="s">
        <v>101</v>
      </c>
      <c r="D32" s="137" t="s">
        <v>252</v>
      </c>
      <c r="E32" s="137" t="s">
        <v>132</v>
      </c>
      <c r="F32" s="134"/>
      <c r="M32" s="137" t="s">
        <v>249</v>
      </c>
      <c r="N32" s="137" t="s">
        <v>253</v>
      </c>
      <c r="O32" s="134"/>
      <c r="P32" s="134"/>
    </row>
    <row r="33" spans="3:16">
      <c r="C33" s="137" t="s">
        <v>254</v>
      </c>
      <c r="D33" s="137" t="s">
        <v>255</v>
      </c>
      <c r="E33" s="137" t="s">
        <v>129</v>
      </c>
      <c r="F33" s="134"/>
      <c r="M33" s="137" t="s">
        <v>101</v>
      </c>
      <c r="N33" s="137" t="s">
        <v>256</v>
      </c>
      <c r="O33" s="134"/>
      <c r="P33" s="134"/>
    </row>
    <row r="34" spans="3:16">
      <c r="C34" s="137" t="s">
        <v>257</v>
      </c>
      <c r="D34" s="137" t="s">
        <v>258</v>
      </c>
      <c r="E34" s="137" t="s">
        <v>247</v>
      </c>
      <c r="F34" s="134"/>
      <c r="M34" s="137" t="s">
        <v>254</v>
      </c>
      <c r="N34" s="137" t="s">
        <v>259</v>
      </c>
      <c r="O34" s="134"/>
      <c r="P34" s="134"/>
    </row>
    <row r="35" spans="3:16">
      <c r="C35" s="137" t="s">
        <v>97</v>
      </c>
      <c r="D35" s="137" t="s">
        <v>260</v>
      </c>
      <c r="E35" s="137" t="s">
        <v>220</v>
      </c>
      <c r="F35" s="134"/>
      <c r="M35" s="134"/>
      <c r="N35" s="134"/>
      <c r="O35" s="134"/>
      <c r="P35" s="134"/>
    </row>
    <row r="36" spans="3:16">
      <c r="C36" s="134"/>
      <c r="D36" s="134"/>
      <c r="E36" s="134"/>
      <c r="F36" s="134"/>
      <c r="M36" s="134" t="s">
        <v>232</v>
      </c>
      <c r="N36" s="137" t="s">
        <v>392</v>
      </c>
      <c r="O36" s="134"/>
      <c r="P36" s="134"/>
    </row>
    <row r="37" spans="3:16">
      <c r="C37" s="134" t="s">
        <v>232</v>
      </c>
      <c r="D37" s="137" t="s">
        <v>134</v>
      </c>
      <c r="E37" s="134"/>
      <c r="F37" s="134"/>
      <c r="M37" s="134" t="s">
        <v>261</v>
      </c>
      <c r="N37" s="143" t="str">
        <f>_xlfn.XLOOKUP(N36,M30:M34,N30:N34,"value not found",0)</f>
        <v>value not found</v>
      </c>
      <c r="O37" s="133" t="s">
        <v>233</v>
      </c>
      <c r="P37" s="134"/>
    </row>
    <row r="38" spans="3:16">
      <c r="C38" s="134" t="s">
        <v>262</v>
      </c>
      <c r="D38" s="140" t="str">
        <f>_xlfn.XLOOKUP(D37,C29:C35,E29:E35,"not found",-1)</f>
        <v>Green</v>
      </c>
      <c r="E38" s="133" t="s">
        <v>233</v>
      </c>
      <c r="F38" s="134"/>
    </row>
    <row r="39" spans="3:16">
      <c r="C39" s="134"/>
      <c r="D39" s="134"/>
      <c r="E39" s="134"/>
      <c r="F39" s="134"/>
    </row>
    <row r="42" spans="3:16">
      <c r="C42" s="134" t="s">
        <v>263</v>
      </c>
      <c r="D42" s="134"/>
      <c r="E42" s="134"/>
    </row>
    <row r="43" spans="3:16">
      <c r="C43" s="134" t="s">
        <v>264</v>
      </c>
      <c r="D43" s="134"/>
      <c r="E43" s="134"/>
    </row>
    <row r="44" spans="3:16">
      <c r="C44" s="134"/>
      <c r="D44" s="134"/>
      <c r="E44" s="134"/>
    </row>
    <row r="45" spans="3:16">
      <c r="C45" s="133" t="s">
        <v>265</v>
      </c>
      <c r="D45" s="134"/>
      <c r="E45" s="134"/>
    </row>
    <row r="46" spans="3:16">
      <c r="C46" s="144" t="s">
        <v>132</v>
      </c>
      <c r="D46" s="145" t="s">
        <v>266</v>
      </c>
      <c r="E46" s="134"/>
    </row>
    <row r="47" spans="3:16">
      <c r="C47" s="134" t="s">
        <v>267</v>
      </c>
      <c r="D47" s="134"/>
      <c r="E47" s="134"/>
    </row>
    <row r="48" spans="3:16">
      <c r="C48" s="134"/>
      <c r="D48" s="134"/>
      <c r="E48" s="134"/>
    </row>
    <row r="49" spans="3:5">
      <c r="C49" s="133" t="s">
        <v>268</v>
      </c>
      <c r="D49" s="146" t="s">
        <v>269</v>
      </c>
      <c r="E49" s="134"/>
    </row>
    <row r="50" spans="3:5">
      <c r="C50" s="144" t="s">
        <v>132</v>
      </c>
      <c r="D50" s="147" t="e">
        <f t="array" aca="1" ref="D50" ca="1">_xludf.XLOOKUP(B14,A6:A12,C6:C12,"not found",,-1)</f>
        <v>#NAME?</v>
      </c>
      <c r="E50" s="134"/>
    </row>
    <row r="51" spans="3:5">
      <c r="C51" s="134" t="s">
        <v>270</v>
      </c>
      <c r="D51" s="134"/>
      <c r="E51" s="134"/>
    </row>
    <row r="52" spans="3:5">
      <c r="C52" s="134"/>
      <c r="D52" s="134"/>
      <c r="E52" s="134"/>
    </row>
    <row r="53" spans="3:5">
      <c r="C53" s="133" t="s">
        <v>271</v>
      </c>
      <c r="D53" s="134"/>
      <c r="E53" s="134"/>
    </row>
    <row r="54" spans="3:5">
      <c r="C54" s="144" t="s">
        <v>132</v>
      </c>
      <c r="D54" s="145" t="s">
        <v>272</v>
      </c>
      <c r="E54" s="134"/>
    </row>
    <row r="55" spans="3:5">
      <c r="C55" s="134" t="s">
        <v>273</v>
      </c>
      <c r="D55" s="134"/>
      <c r="E55" s="134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25"/>
  <sheetViews>
    <sheetView workbookViewId="0">
      <selection activeCell="H15" sqref="H15"/>
    </sheetView>
  </sheetViews>
  <sheetFormatPr defaultColWidth="14.44140625" defaultRowHeight="15" customHeight="1"/>
  <sheetData>
    <row r="1" spans="1:12">
      <c r="A1" s="51" t="s">
        <v>274</v>
      </c>
      <c r="B1" s="50"/>
      <c r="C1" s="50"/>
      <c r="D1" s="50"/>
      <c r="E1" s="50"/>
    </row>
    <row r="2" spans="1:12">
      <c r="A2" s="57" t="s">
        <v>275</v>
      </c>
      <c r="B2" s="50"/>
      <c r="C2" s="50"/>
      <c r="D2" s="50"/>
      <c r="E2" s="50"/>
    </row>
    <row r="3" spans="1:12">
      <c r="A3" s="57" t="s">
        <v>276</v>
      </c>
      <c r="B3" s="50"/>
      <c r="C3" s="50"/>
      <c r="D3" s="50"/>
      <c r="E3" s="50"/>
    </row>
    <row r="4" spans="1:12">
      <c r="A4" s="57" t="s">
        <v>277</v>
      </c>
      <c r="B4" s="50"/>
      <c r="C4" s="50"/>
      <c r="D4" s="50"/>
      <c r="E4" s="50"/>
      <c r="G4" s="51" t="s">
        <v>278</v>
      </c>
      <c r="H4" s="50"/>
      <c r="I4" s="50"/>
      <c r="J4" s="50"/>
      <c r="K4" s="50"/>
      <c r="L4" s="50"/>
    </row>
    <row r="5" spans="1:12">
      <c r="A5" s="57" t="s">
        <v>279</v>
      </c>
      <c r="B5" s="50"/>
      <c r="C5" s="50"/>
      <c r="D5" s="50"/>
      <c r="E5" s="50"/>
      <c r="G5" s="56" t="s">
        <v>186</v>
      </c>
      <c r="H5" s="56" t="s">
        <v>40</v>
      </c>
      <c r="I5" s="50"/>
      <c r="J5" s="50"/>
      <c r="K5" s="50"/>
      <c r="L5" s="50"/>
    </row>
    <row r="6" spans="1:12">
      <c r="A6" s="57" t="s">
        <v>280</v>
      </c>
      <c r="B6" s="50"/>
      <c r="C6" s="50"/>
      <c r="D6" s="50"/>
      <c r="E6" s="50"/>
      <c r="G6" s="58">
        <v>9584423</v>
      </c>
      <c r="H6" s="57" t="s">
        <v>44</v>
      </c>
      <c r="I6" s="50"/>
      <c r="J6" s="50"/>
      <c r="K6" s="50"/>
      <c r="L6" s="50"/>
    </row>
    <row r="7" spans="1:12">
      <c r="A7" s="57" t="s">
        <v>208</v>
      </c>
      <c r="B7" s="50"/>
      <c r="C7" s="50"/>
      <c r="D7" s="50"/>
      <c r="E7" s="50"/>
      <c r="G7" s="58">
        <v>5034521</v>
      </c>
      <c r="H7" s="57" t="s">
        <v>281</v>
      </c>
      <c r="I7" s="50"/>
      <c r="J7" s="50"/>
      <c r="K7" s="50"/>
      <c r="L7" s="50"/>
    </row>
    <row r="8" spans="1:12">
      <c r="A8" s="50"/>
      <c r="B8" s="50"/>
      <c r="C8" s="50"/>
      <c r="D8" s="50"/>
      <c r="E8" s="50"/>
      <c r="G8" s="58">
        <v>9543669</v>
      </c>
      <c r="H8" s="57" t="s">
        <v>282</v>
      </c>
      <c r="I8" s="50"/>
      <c r="J8" s="50"/>
      <c r="K8" s="50"/>
      <c r="L8" s="50"/>
    </row>
    <row r="9" spans="1:12">
      <c r="A9" s="50"/>
      <c r="B9" s="50"/>
      <c r="C9" s="50"/>
      <c r="D9" s="50"/>
      <c r="E9" s="50"/>
      <c r="G9" s="58">
        <v>9995553</v>
      </c>
      <c r="H9" s="57" t="s">
        <v>283</v>
      </c>
      <c r="I9" s="50"/>
      <c r="J9" s="50"/>
      <c r="K9" s="50"/>
      <c r="L9" s="50"/>
    </row>
    <row r="10" spans="1:12">
      <c r="A10" s="50" t="s">
        <v>117</v>
      </c>
      <c r="B10" s="93" t="str">
        <f>INDEX(A2:A7,5,1)</f>
        <v>Exxon Mobile</v>
      </c>
      <c r="C10" s="51" t="s">
        <v>233</v>
      </c>
      <c r="D10" s="50"/>
      <c r="E10" s="50"/>
      <c r="G10" s="58">
        <v>8595323</v>
      </c>
      <c r="H10" s="57" t="s">
        <v>43</v>
      </c>
      <c r="I10" s="50"/>
      <c r="J10" s="50"/>
      <c r="K10" s="50"/>
      <c r="L10" s="50"/>
    </row>
    <row r="11" spans="1:12">
      <c r="G11" s="58">
        <v>9359305</v>
      </c>
      <c r="H11" s="57" t="s">
        <v>284</v>
      </c>
      <c r="I11" s="50"/>
      <c r="J11" s="50"/>
      <c r="K11" s="50"/>
      <c r="L11" s="50"/>
    </row>
    <row r="12" spans="1:12">
      <c r="G12" s="50"/>
      <c r="H12" s="50"/>
      <c r="I12" s="50"/>
      <c r="J12" s="50"/>
      <c r="K12" s="50"/>
      <c r="L12" s="50"/>
    </row>
    <row r="13" spans="1:12">
      <c r="G13" s="50" t="s">
        <v>232</v>
      </c>
      <c r="H13" s="51" t="s">
        <v>283</v>
      </c>
      <c r="I13" s="50"/>
      <c r="J13" s="50"/>
      <c r="K13" s="50"/>
      <c r="L13" s="50"/>
    </row>
    <row r="14" spans="1:12">
      <c r="A14" s="51" t="s">
        <v>285</v>
      </c>
      <c r="B14" s="51"/>
      <c r="C14" s="51"/>
      <c r="D14" s="51"/>
      <c r="E14" s="51"/>
      <c r="F14" s="50"/>
      <c r="G14" s="50" t="s">
        <v>117</v>
      </c>
      <c r="H14" s="93">
        <f>INDEX(G6:G11, MATCH(H13,H6:H11,0))</f>
        <v>9995553</v>
      </c>
      <c r="I14" s="51" t="s">
        <v>233</v>
      </c>
      <c r="J14" s="50"/>
      <c r="K14" s="50"/>
      <c r="L14" s="50"/>
    </row>
    <row r="15" spans="1:12">
      <c r="A15" s="50"/>
      <c r="B15" s="51" t="s">
        <v>286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>
      <c r="A16" s="50"/>
      <c r="B16" s="57" t="s">
        <v>287</v>
      </c>
      <c r="C16" s="50"/>
      <c r="D16" s="50"/>
      <c r="E16" s="50"/>
      <c r="F16" s="50"/>
    </row>
    <row r="17" spans="1:6">
      <c r="A17" s="50"/>
      <c r="B17" s="57" t="s">
        <v>288</v>
      </c>
      <c r="C17" s="50"/>
      <c r="D17" s="50"/>
      <c r="E17" s="50"/>
      <c r="F17" s="50"/>
    </row>
    <row r="18" spans="1:6">
      <c r="A18" s="50"/>
      <c r="B18" s="57" t="s">
        <v>289</v>
      </c>
      <c r="C18" s="50"/>
      <c r="D18" s="50"/>
      <c r="E18" s="50"/>
      <c r="F18" s="50"/>
    </row>
    <row r="19" spans="1:6">
      <c r="A19" s="50"/>
      <c r="B19" s="57" t="s">
        <v>290</v>
      </c>
      <c r="C19" s="50"/>
      <c r="D19" s="50"/>
      <c r="E19" s="50"/>
      <c r="F19" s="50"/>
    </row>
    <row r="20" spans="1:6">
      <c r="A20" s="50"/>
      <c r="B20" s="57" t="s">
        <v>291</v>
      </c>
      <c r="C20" s="50"/>
      <c r="D20" s="50"/>
      <c r="E20" s="50"/>
      <c r="F20" s="50"/>
    </row>
    <row r="21" spans="1:6">
      <c r="A21" s="50"/>
      <c r="B21" s="57" t="s">
        <v>292</v>
      </c>
      <c r="C21" s="50"/>
      <c r="D21" s="50"/>
      <c r="E21" s="50"/>
      <c r="F21" s="50"/>
    </row>
    <row r="22" spans="1:6">
      <c r="A22" s="50"/>
      <c r="B22" s="57" t="s">
        <v>293</v>
      </c>
      <c r="C22" s="50"/>
      <c r="D22" s="50"/>
      <c r="E22" s="50"/>
      <c r="F22" s="50"/>
    </row>
    <row r="23" spans="1:6">
      <c r="A23" s="50"/>
      <c r="B23" s="50"/>
      <c r="C23" s="50"/>
      <c r="D23" s="50"/>
      <c r="E23" s="50"/>
      <c r="F23" s="50"/>
    </row>
    <row r="24" spans="1:6">
      <c r="A24" s="50" t="s">
        <v>117</v>
      </c>
      <c r="B24" s="93">
        <f>MATCH(B21,B16:B22,0)</f>
        <v>6</v>
      </c>
      <c r="C24" s="51" t="s">
        <v>175</v>
      </c>
      <c r="D24" s="50"/>
      <c r="E24" s="50"/>
      <c r="F24" s="50"/>
    </row>
    <row r="25" spans="1:6">
      <c r="A25" s="50"/>
      <c r="B25" s="50"/>
      <c r="C25" s="50"/>
      <c r="D25" s="50"/>
      <c r="E25" s="50"/>
      <c r="F25" s="5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63"/>
  <sheetViews>
    <sheetView topLeftCell="A35" zoomScale="80" workbookViewId="0">
      <selection activeCell="E66" sqref="E66"/>
    </sheetView>
  </sheetViews>
  <sheetFormatPr defaultColWidth="14.44140625" defaultRowHeight="15" customHeight="1"/>
  <cols>
    <col min="1" max="1" width="59" customWidth="1"/>
    <col min="4" max="4" width="21.6640625" customWidth="1"/>
    <col min="7" max="7" width="27.88671875" customWidth="1"/>
    <col min="10" max="10" width="30.109375" customWidth="1"/>
  </cols>
  <sheetData>
    <row r="1" spans="1:10" ht="14.4">
      <c r="A1" s="202" t="s">
        <v>329</v>
      </c>
      <c r="B1" s="178"/>
      <c r="C1" s="178"/>
      <c r="D1" s="178"/>
      <c r="E1" s="50"/>
    </row>
    <row r="2" spans="1:10" ht="14.4">
      <c r="A2" s="50"/>
      <c r="B2" s="151" t="s">
        <v>40</v>
      </c>
      <c r="C2" s="151" t="s">
        <v>330</v>
      </c>
      <c r="D2" s="50"/>
      <c r="E2" s="50"/>
    </row>
    <row r="3" spans="1:10" ht="14.4">
      <c r="A3" s="50"/>
      <c r="B3" s="152" t="s">
        <v>331</v>
      </c>
      <c r="C3" s="153">
        <v>3</v>
      </c>
      <c r="D3" s="50"/>
      <c r="E3" s="51"/>
    </row>
    <row r="4" spans="1:10" ht="14.4">
      <c r="A4" s="50"/>
      <c r="B4" s="152" t="s">
        <v>332</v>
      </c>
      <c r="C4" s="153">
        <v>5</v>
      </c>
      <c r="D4" s="50"/>
      <c r="E4" s="51"/>
    </row>
    <row r="5" spans="1:10" ht="14.4">
      <c r="A5" s="50"/>
      <c r="B5" s="152" t="s">
        <v>333</v>
      </c>
      <c r="C5" s="153">
        <v>2</v>
      </c>
      <c r="D5" s="50"/>
      <c r="E5" s="50"/>
    </row>
    <row r="6" spans="1:10" ht="14.4">
      <c r="A6" s="50"/>
      <c r="B6" s="152" t="s">
        <v>283</v>
      </c>
      <c r="C6" s="153">
        <v>4</v>
      </c>
      <c r="D6" s="50"/>
      <c r="E6" s="50"/>
    </row>
    <row r="7" spans="1:10" ht="14.4">
      <c r="A7" s="50"/>
      <c r="B7" s="152" t="s">
        <v>334</v>
      </c>
      <c r="C7" s="153">
        <v>1</v>
      </c>
      <c r="D7" s="50"/>
      <c r="E7" s="50"/>
    </row>
    <row r="8" spans="1:10" ht="14.4">
      <c r="A8" s="50"/>
      <c r="B8" s="50"/>
      <c r="C8" s="50"/>
      <c r="D8" s="50"/>
      <c r="E8" s="50"/>
    </row>
    <row r="9" spans="1:10" ht="14.4">
      <c r="A9" s="50"/>
      <c r="B9" s="50"/>
      <c r="C9" s="50"/>
      <c r="D9" s="50"/>
      <c r="E9" s="50"/>
    </row>
    <row r="10" spans="1:10" ht="14.4">
      <c r="A10" s="50"/>
      <c r="B10" s="60" t="s">
        <v>40</v>
      </c>
      <c r="C10" s="60" t="s">
        <v>330</v>
      </c>
      <c r="D10" s="50"/>
      <c r="E10" s="50"/>
    </row>
    <row r="11" spans="1:10" ht="14.4">
      <c r="A11" s="198" t="s">
        <v>335</v>
      </c>
      <c r="B11" s="59" t="str" cm="1">
        <f t="array" ref="B11:C15">_xlfn._xlws.SORT(B3:C7,2,1)</f>
        <v>Nemo</v>
      </c>
      <c r="C11" s="57">
        <v>1</v>
      </c>
      <c r="D11" s="154" t="s">
        <v>336</v>
      </c>
      <c r="E11" s="50"/>
    </row>
    <row r="12" spans="1:10" ht="14.4">
      <c r="A12" s="178"/>
      <c r="B12" s="57" t="str">
        <v>Anya</v>
      </c>
      <c r="C12" s="57">
        <v>2</v>
      </c>
      <c r="D12" s="50"/>
      <c r="E12" s="50"/>
    </row>
    <row r="13" spans="1:10" ht="14.4">
      <c r="A13" s="178"/>
      <c r="B13" s="57" t="str">
        <v>Leroy</v>
      </c>
      <c r="C13" s="57">
        <v>3</v>
      </c>
      <c r="D13" s="50"/>
      <c r="E13" s="50"/>
    </row>
    <row r="14" spans="1:10" ht="14.4">
      <c r="A14" s="178"/>
      <c r="B14" s="57" t="str">
        <v>David</v>
      </c>
      <c r="C14" s="57">
        <v>4</v>
      </c>
      <c r="D14" s="50"/>
      <c r="E14" s="50"/>
    </row>
    <row r="15" spans="1:10" ht="14.4">
      <c r="A15" s="178"/>
      <c r="B15" s="57" t="str">
        <v>Adi</v>
      </c>
      <c r="C15" s="57">
        <v>5</v>
      </c>
      <c r="D15" s="50"/>
      <c r="E15" s="50"/>
      <c r="G15" s="151" t="s">
        <v>40</v>
      </c>
      <c r="H15" s="155" t="s">
        <v>340</v>
      </c>
      <c r="I15" s="151" t="s">
        <v>40</v>
      </c>
      <c r="J15" s="156" t="s">
        <v>341</v>
      </c>
    </row>
    <row r="16" spans="1:10" ht="15" customHeight="1">
      <c r="G16" s="152" t="s">
        <v>342</v>
      </c>
      <c r="H16" s="157">
        <v>4.0199999999999996</v>
      </c>
      <c r="I16" s="152" t="s">
        <v>342</v>
      </c>
      <c r="J16" s="158">
        <v>9.01</v>
      </c>
    </row>
    <row r="17" spans="1:10" ht="15" customHeight="1">
      <c r="G17" s="152" t="s">
        <v>343</v>
      </c>
      <c r="H17" s="157">
        <v>5.92</v>
      </c>
      <c r="I17" s="152" t="s">
        <v>343</v>
      </c>
      <c r="J17" s="158">
        <v>10.93</v>
      </c>
    </row>
    <row r="18" spans="1:10" ht="15" customHeight="1">
      <c r="G18" s="152" t="s">
        <v>344</v>
      </c>
      <c r="H18" s="157">
        <v>6.2</v>
      </c>
      <c r="I18" s="152" t="s">
        <v>344</v>
      </c>
      <c r="J18" s="158">
        <v>10.19</v>
      </c>
    </row>
    <row r="19" spans="1:10" ht="15" customHeight="1">
      <c r="G19" s="152" t="s">
        <v>345</v>
      </c>
      <c r="H19" s="157">
        <v>2.11</v>
      </c>
      <c r="I19" s="152" t="s">
        <v>345</v>
      </c>
      <c r="J19" s="158">
        <v>3.34</v>
      </c>
    </row>
    <row r="20" spans="1:10" ht="15" customHeight="1">
      <c r="A20" s="203" t="s">
        <v>337</v>
      </c>
      <c r="B20" s="204"/>
      <c r="C20" s="204"/>
      <c r="D20" s="204"/>
      <c r="E20" s="205"/>
    </row>
    <row r="21" spans="1:10" ht="14.4">
      <c r="A21" s="198" t="s">
        <v>338</v>
      </c>
      <c r="B21" s="178"/>
      <c r="C21" s="178"/>
      <c r="D21" s="178"/>
      <c r="E21" s="178"/>
      <c r="F21" s="50"/>
    </row>
    <row r="22" spans="1:10" ht="14.4">
      <c r="A22" s="50"/>
      <c r="B22" s="151" t="s">
        <v>40</v>
      </c>
      <c r="C22" s="151" t="s">
        <v>339</v>
      </c>
      <c r="D22" s="155" t="s">
        <v>340</v>
      </c>
      <c r="E22" s="156" t="s">
        <v>341</v>
      </c>
      <c r="F22" s="50"/>
    </row>
    <row r="23" spans="1:10" ht="14.4">
      <c r="A23" s="50"/>
      <c r="B23" s="152" t="s">
        <v>342</v>
      </c>
      <c r="C23" s="153">
        <v>4.99</v>
      </c>
      <c r="D23" s="157">
        <v>4.0199999999999996</v>
      </c>
      <c r="E23" s="158">
        <v>9.01</v>
      </c>
      <c r="F23" s="50"/>
    </row>
    <row r="24" spans="1:10" ht="14.4">
      <c r="A24" s="50"/>
      <c r="B24" s="152" t="s">
        <v>343</v>
      </c>
      <c r="C24" s="153">
        <v>5.01</v>
      </c>
      <c r="D24" s="157">
        <v>5.92</v>
      </c>
      <c r="E24" s="158">
        <v>10.93</v>
      </c>
      <c r="F24" s="50"/>
      <c r="G24" s="50"/>
      <c r="H24" s="185"/>
      <c r="I24" s="178"/>
    </row>
    <row r="25" spans="1:10" ht="14.4">
      <c r="A25" s="50"/>
      <c r="B25" s="152" t="s">
        <v>344</v>
      </c>
      <c r="C25" s="153">
        <v>3.99</v>
      </c>
      <c r="D25" s="157">
        <v>6.2</v>
      </c>
      <c r="E25" s="158">
        <v>10.19</v>
      </c>
      <c r="F25" s="50"/>
      <c r="G25" s="50"/>
      <c r="H25" s="185"/>
      <c r="I25" s="178"/>
    </row>
    <row r="26" spans="1:10" ht="14.4">
      <c r="A26" s="50"/>
      <c r="B26" s="152" t="s">
        <v>345</v>
      </c>
      <c r="C26" s="153">
        <v>1.23</v>
      </c>
      <c r="D26" s="157">
        <v>2.11</v>
      </c>
      <c r="E26" s="158">
        <v>3.34</v>
      </c>
      <c r="F26" s="50"/>
      <c r="G26" s="50"/>
      <c r="H26" s="185"/>
      <c r="I26" s="178"/>
      <c r="J26" s="50"/>
    </row>
    <row r="27" spans="1:10" ht="14.4">
      <c r="A27" s="50"/>
      <c r="B27" s="185"/>
      <c r="C27" s="178"/>
      <c r="D27" s="50"/>
      <c r="E27" s="50"/>
      <c r="F27" s="50"/>
      <c r="G27" s="50"/>
      <c r="H27" s="185"/>
      <c r="I27" s="178"/>
      <c r="J27" s="50"/>
    </row>
    <row r="28" spans="1:10" ht="14.4">
      <c r="A28" s="50"/>
      <c r="B28" s="197" t="s">
        <v>346</v>
      </c>
      <c r="C28" s="172"/>
      <c r="D28" s="50"/>
      <c r="E28" s="200" t="s">
        <v>347</v>
      </c>
      <c r="F28" s="172"/>
      <c r="G28" s="50"/>
      <c r="H28" s="201" t="s">
        <v>341</v>
      </c>
      <c r="I28" s="172"/>
      <c r="J28" s="50"/>
    </row>
    <row r="29" spans="1:10" ht="14.4">
      <c r="A29" s="50"/>
      <c r="B29" s="57" t="s">
        <v>330</v>
      </c>
      <c r="C29" s="159" t="s">
        <v>40</v>
      </c>
      <c r="D29" s="50"/>
      <c r="E29" s="57" t="s">
        <v>330</v>
      </c>
      <c r="F29" s="159" t="s">
        <v>40</v>
      </c>
      <c r="G29" s="50"/>
      <c r="H29" s="57" t="s">
        <v>330</v>
      </c>
      <c r="I29" s="159" t="s">
        <v>40</v>
      </c>
      <c r="J29" s="50"/>
    </row>
    <row r="30" spans="1:10" ht="14.4">
      <c r="A30" s="198" t="s">
        <v>348</v>
      </c>
      <c r="B30" s="58" t="str" cm="1">
        <f t="array" ref="B30:C33">_xlfn.SORTBY(B23:C26,C23:C26,-1)</f>
        <v>Jonny</v>
      </c>
      <c r="C30" s="59">
        <v>5.01</v>
      </c>
      <c r="D30" s="160" t="s">
        <v>349</v>
      </c>
      <c r="E30" s="58" t="str" cm="1">
        <f t="array" ref="E30:F33">_xlfn.SORTBY(G16:H19,H16:H19,-1)</f>
        <v>Jackey</v>
      </c>
      <c r="F30" s="59">
        <v>6.2</v>
      </c>
      <c r="G30" s="160" t="s">
        <v>349</v>
      </c>
      <c r="H30" s="58" t="str" cm="1">
        <f t="array" ref="H30:I33">_xlfn.SORTBY(I16:J19,J16:J19,-1)</f>
        <v>Jonny</v>
      </c>
      <c r="I30" s="59">
        <v>10.93</v>
      </c>
      <c r="J30" s="160" t="s">
        <v>349</v>
      </c>
    </row>
    <row r="31" spans="1:10" ht="14.4">
      <c r="A31" s="178"/>
      <c r="B31" t="str">
        <v>Hayley</v>
      </c>
      <c r="C31" s="57">
        <v>4.99</v>
      </c>
      <c r="D31" s="50"/>
      <c r="E31" s="58" t="str">
        <v>Jonny</v>
      </c>
      <c r="F31" s="57">
        <v>5.92</v>
      </c>
      <c r="G31" s="50"/>
      <c r="H31" s="58" t="str">
        <v>Jackey</v>
      </c>
      <c r="I31" s="57">
        <v>10.19</v>
      </c>
      <c r="J31" s="50"/>
    </row>
    <row r="32" spans="1:10" ht="14.4">
      <c r="A32" s="178"/>
      <c r="B32" s="58" t="str">
        <v>Jackey</v>
      </c>
      <c r="C32" s="57">
        <v>3.99</v>
      </c>
      <c r="D32" s="50"/>
      <c r="E32" s="58" t="str">
        <v>Hayley</v>
      </c>
      <c r="F32" s="57">
        <v>4.0199999999999996</v>
      </c>
      <c r="G32" s="50"/>
      <c r="H32" s="58" t="str">
        <v>Hayley</v>
      </c>
      <c r="I32" s="57">
        <v>9.01</v>
      </c>
      <c r="J32" s="50"/>
    </row>
    <row r="33" spans="1:10" ht="14.4">
      <c r="A33" s="178"/>
      <c r="B33" s="58" t="str">
        <v>Carey</v>
      </c>
      <c r="C33" s="57">
        <v>1.23</v>
      </c>
      <c r="D33" s="50"/>
      <c r="E33" s="58" t="str">
        <v>Carey</v>
      </c>
      <c r="F33" s="57">
        <v>2.11</v>
      </c>
      <c r="G33" s="50"/>
      <c r="H33" s="58" t="str">
        <v>Carey</v>
      </c>
      <c r="I33" s="57">
        <v>3.34</v>
      </c>
      <c r="J33" s="50"/>
    </row>
    <row r="36" spans="1:10" ht="14.4">
      <c r="A36" s="199" t="s">
        <v>350</v>
      </c>
      <c r="B36" s="172"/>
      <c r="C36" s="172"/>
      <c r="D36" s="172"/>
      <c r="E36" s="172"/>
      <c r="F36" s="172"/>
      <c r="G36" s="172"/>
      <c r="H36" s="172"/>
      <c r="I36" s="172"/>
      <c r="J36" s="173"/>
    </row>
    <row r="37" spans="1:10" ht="14.4">
      <c r="A37" s="174"/>
      <c r="B37" s="175"/>
      <c r="C37" s="175"/>
      <c r="D37" s="175"/>
      <c r="E37" s="175"/>
      <c r="F37" s="175"/>
      <c r="G37" s="175"/>
      <c r="H37" s="175"/>
      <c r="I37" s="175"/>
      <c r="J37" s="176"/>
    </row>
    <row r="39" spans="1:10" ht="14.4">
      <c r="B39" s="51" t="s">
        <v>351</v>
      </c>
      <c r="C39" s="50"/>
      <c r="D39" s="50"/>
      <c r="E39" s="50"/>
      <c r="F39" s="50"/>
    </row>
    <row r="40" spans="1:10" ht="14.4">
      <c r="B40" s="50" t="s">
        <v>352</v>
      </c>
      <c r="C40" s="50"/>
      <c r="D40" s="50"/>
      <c r="E40" s="50"/>
      <c r="F40" s="50"/>
    </row>
    <row r="41" spans="1:10" ht="14.4">
      <c r="B41" s="50" t="s">
        <v>353</v>
      </c>
      <c r="C41" s="50"/>
      <c r="D41" s="50"/>
      <c r="E41" s="50"/>
      <c r="F41" s="50"/>
    </row>
    <row r="42" spans="1:10" ht="14.4">
      <c r="B42" s="50"/>
      <c r="C42" s="50"/>
      <c r="D42" s="50"/>
      <c r="E42" s="50"/>
      <c r="F42" s="50"/>
    </row>
    <row r="43" spans="1:10" ht="14.4">
      <c r="B43" s="50"/>
      <c r="C43" s="51" t="s">
        <v>354</v>
      </c>
      <c r="D43" s="51" t="s">
        <v>355</v>
      </c>
      <c r="E43" s="51" t="s">
        <v>40</v>
      </c>
      <c r="F43" s="51" t="s">
        <v>356</v>
      </c>
    </row>
    <row r="44" spans="1:10" ht="14.4">
      <c r="B44" s="50"/>
      <c r="C44" s="50" t="s">
        <v>287</v>
      </c>
      <c r="D44" s="50" t="s">
        <v>357</v>
      </c>
      <c r="E44" s="50" t="s">
        <v>97</v>
      </c>
      <c r="F44" s="53">
        <v>100</v>
      </c>
    </row>
    <row r="45" spans="1:10" ht="14.4">
      <c r="B45" s="50"/>
      <c r="C45" s="50" t="s">
        <v>358</v>
      </c>
      <c r="D45" s="50" t="s">
        <v>359</v>
      </c>
      <c r="E45" s="50" t="s">
        <v>360</v>
      </c>
      <c r="F45" s="53">
        <v>98</v>
      </c>
    </row>
    <row r="46" spans="1:10" ht="14.4">
      <c r="B46" s="50"/>
      <c r="C46" s="50" t="s">
        <v>361</v>
      </c>
      <c r="D46" s="50" t="s">
        <v>362</v>
      </c>
      <c r="E46" s="50" t="s">
        <v>226</v>
      </c>
      <c r="F46" s="53">
        <v>100</v>
      </c>
    </row>
    <row r="47" spans="1:10" ht="14.4">
      <c r="B47" s="50"/>
      <c r="C47" s="50" t="s">
        <v>289</v>
      </c>
      <c r="D47" s="50" t="s">
        <v>363</v>
      </c>
      <c r="E47" s="50" t="s">
        <v>134</v>
      </c>
      <c r="F47" s="53">
        <v>92</v>
      </c>
    </row>
    <row r="48" spans="1:10" ht="14.4">
      <c r="B48" s="50"/>
      <c r="C48" s="50" t="s">
        <v>287</v>
      </c>
      <c r="D48" s="50" t="s">
        <v>359</v>
      </c>
      <c r="E48" s="50" t="s">
        <v>168</v>
      </c>
      <c r="F48" s="53">
        <v>91</v>
      </c>
    </row>
    <row r="49" spans="2:6" ht="14.4">
      <c r="B49" s="50"/>
      <c r="C49" s="50" t="s">
        <v>289</v>
      </c>
      <c r="D49" s="50" t="s">
        <v>362</v>
      </c>
      <c r="E49" s="50" t="s">
        <v>99</v>
      </c>
      <c r="F49" s="53">
        <v>93</v>
      </c>
    </row>
    <row r="50" spans="2:6" ht="14.4">
      <c r="B50" s="50"/>
      <c r="C50" s="50" t="s">
        <v>358</v>
      </c>
      <c r="D50" s="50" t="s">
        <v>357</v>
      </c>
      <c r="E50" s="50" t="s">
        <v>364</v>
      </c>
      <c r="F50" s="53">
        <v>94</v>
      </c>
    </row>
    <row r="51" spans="2:6" ht="14.4">
      <c r="B51" s="50"/>
      <c r="C51" s="50" t="s">
        <v>287</v>
      </c>
      <c r="D51" s="50" t="s">
        <v>365</v>
      </c>
      <c r="E51" s="50" t="s">
        <v>366</v>
      </c>
      <c r="F51" s="53">
        <v>100</v>
      </c>
    </row>
    <row r="52" spans="2:6" ht="14.4">
      <c r="B52" s="50"/>
      <c r="C52" s="50" t="s">
        <v>289</v>
      </c>
      <c r="D52" s="50" t="s">
        <v>367</v>
      </c>
      <c r="E52" s="50" t="s">
        <v>368</v>
      </c>
      <c r="F52" s="53">
        <v>98</v>
      </c>
    </row>
    <row r="53" spans="2:6" ht="14.4">
      <c r="B53" s="50"/>
      <c r="C53" s="50"/>
      <c r="D53" s="50"/>
      <c r="E53" s="50"/>
      <c r="F53" s="50"/>
    </row>
    <row r="54" spans="2:6" ht="14.4">
      <c r="B54" s="50"/>
      <c r="C54" s="51" t="s">
        <v>354</v>
      </c>
      <c r="D54" s="51" t="s">
        <v>355</v>
      </c>
      <c r="E54" s="51" t="s">
        <v>40</v>
      </c>
      <c r="F54" s="51" t="s">
        <v>356</v>
      </c>
    </row>
    <row r="55" spans="2:6" ht="14.4">
      <c r="B55" s="51" t="s">
        <v>369</v>
      </c>
      <c r="C55" s="93" t="str" cm="1">
        <f t="array" ref="C55:F63">_xlfn.SORTBY(C44:F52,C44:C52,1,D44:D52,1)</f>
        <v>A</v>
      </c>
      <c r="D55" s="50" t="str">
        <v>Brazil</v>
      </c>
      <c r="E55" s="50" t="str">
        <v>Daniel</v>
      </c>
      <c r="F55" s="50">
        <v>100</v>
      </c>
    </row>
    <row r="56" spans="2:6" ht="14.4">
      <c r="B56" s="50"/>
      <c r="C56" s="50" t="str">
        <v>A</v>
      </c>
      <c r="D56" s="50" t="str">
        <v>Canada</v>
      </c>
      <c r="E56" s="50" t="str">
        <v>Alex</v>
      </c>
      <c r="F56" s="50">
        <v>91</v>
      </c>
    </row>
    <row r="57" spans="2:6" ht="14.4">
      <c r="B57" s="50"/>
      <c r="C57" s="50" t="str">
        <v>A</v>
      </c>
      <c r="D57" s="50" t="str">
        <v>USA</v>
      </c>
      <c r="E57" s="50" t="str">
        <v>John</v>
      </c>
      <c r="F57" s="50">
        <v>100</v>
      </c>
    </row>
    <row r="58" spans="2:6" ht="15" customHeight="1">
      <c r="C58" t="str">
        <v>B</v>
      </c>
      <c r="D58" t="str">
        <v>Israel</v>
      </c>
      <c r="E58" t="str">
        <v>Dan</v>
      </c>
      <c r="F58">
        <v>100</v>
      </c>
    </row>
    <row r="59" spans="2:6" ht="15" customHeight="1">
      <c r="C59" t="str">
        <v>C</v>
      </c>
      <c r="D59" t="str">
        <v>Israel</v>
      </c>
      <c r="E59" t="str">
        <v>Dean</v>
      </c>
      <c r="F59">
        <v>93</v>
      </c>
    </row>
    <row r="60" spans="2:6" ht="15" customHeight="1">
      <c r="C60" t="str">
        <v>C</v>
      </c>
      <c r="D60" t="str">
        <v>Nigeria</v>
      </c>
      <c r="E60" t="str">
        <v>James</v>
      </c>
      <c r="F60">
        <v>98</v>
      </c>
    </row>
    <row r="61" spans="2:6" ht="15" customHeight="1">
      <c r="C61" t="str">
        <v>C</v>
      </c>
      <c r="D61" t="str">
        <v>UK</v>
      </c>
      <c r="E61" t="str">
        <v>Jake</v>
      </c>
      <c r="F61">
        <v>92</v>
      </c>
    </row>
    <row r="62" spans="2:6" ht="15" customHeight="1">
      <c r="C62" t="str">
        <v>D</v>
      </c>
      <c r="D62" t="str">
        <v>Canada</v>
      </c>
      <c r="E62" t="str">
        <v>Robert</v>
      </c>
      <c r="F62">
        <v>98</v>
      </c>
    </row>
    <row r="63" spans="2:6" ht="15" customHeight="1">
      <c r="C63" t="str">
        <v>D</v>
      </c>
      <c r="D63" t="str">
        <v>USA</v>
      </c>
      <c r="E63" t="str">
        <v>Jay Jay</v>
      </c>
      <c r="F63">
        <v>94</v>
      </c>
    </row>
  </sheetData>
  <mergeCells count="14">
    <mergeCell ref="A1:D1"/>
    <mergeCell ref="A11:A15"/>
    <mergeCell ref="A20:E20"/>
    <mergeCell ref="A21:E21"/>
    <mergeCell ref="B28:C28"/>
    <mergeCell ref="A30:A33"/>
    <mergeCell ref="A36:J37"/>
    <mergeCell ref="H24:I24"/>
    <mergeCell ref="H25:I25"/>
    <mergeCell ref="H26:I26"/>
    <mergeCell ref="B27:C27"/>
    <mergeCell ref="H27:I27"/>
    <mergeCell ref="E28:F28"/>
    <mergeCell ref="H28:I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4"/>
  <sheetViews>
    <sheetView topLeftCell="A2" workbookViewId="0">
      <selection activeCell="B12" sqref="B12"/>
    </sheetView>
  </sheetViews>
  <sheetFormatPr defaultColWidth="14.44140625" defaultRowHeight="15" customHeight="1"/>
  <cols>
    <col min="1" max="1" width="31.6640625" customWidth="1"/>
    <col min="2" max="2" width="29" customWidth="1"/>
    <col min="3" max="3" width="32.88671875" customWidth="1"/>
    <col min="4" max="4" width="39.44140625" customWidth="1"/>
  </cols>
  <sheetData>
    <row r="1" spans="1:6">
      <c r="A1" s="206" t="s">
        <v>370</v>
      </c>
      <c r="B1" s="178"/>
      <c r="C1" s="178"/>
      <c r="D1" s="178"/>
      <c r="E1" s="50"/>
      <c r="F1" s="50"/>
    </row>
    <row r="2" spans="1:6">
      <c r="A2" s="50"/>
      <c r="B2" s="151" t="s">
        <v>194</v>
      </c>
      <c r="C2" s="151" t="s">
        <v>371</v>
      </c>
      <c r="D2" s="151" t="s">
        <v>372</v>
      </c>
      <c r="E2" s="50"/>
      <c r="F2" s="50"/>
    </row>
    <row r="3" spans="1:6">
      <c r="A3" s="50"/>
      <c r="B3" s="152" t="s">
        <v>198</v>
      </c>
      <c r="C3" s="152" t="s">
        <v>373</v>
      </c>
      <c r="D3" s="153">
        <v>931.78</v>
      </c>
      <c r="E3" s="50"/>
      <c r="F3" s="50"/>
    </row>
    <row r="4" spans="1:6">
      <c r="A4" s="50"/>
      <c r="B4" s="152" t="s">
        <v>374</v>
      </c>
      <c r="C4" s="152" t="s">
        <v>375</v>
      </c>
      <c r="D4" s="153">
        <v>341.28</v>
      </c>
      <c r="E4" s="50"/>
      <c r="F4" s="50"/>
    </row>
    <row r="5" spans="1:6">
      <c r="A5" s="50"/>
      <c r="B5" s="152" t="s">
        <v>279</v>
      </c>
      <c r="C5" s="152" t="s">
        <v>373</v>
      </c>
      <c r="D5" s="153">
        <v>36.020000000000003</v>
      </c>
      <c r="E5" s="50"/>
      <c r="F5" s="50"/>
    </row>
    <row r="6" spans="1:6">
      <c r="A6" s="50"/>
      <c r="B6" s="152" t="s">
        <v>376</v>
      </c>
      <c r="C6" s="152" t="s">
        <v>375</v>
      </c>
      <c r="D6" s="153">
        <v>130.25</v>
      </c>
      <c r="E6" s="50"/>
      <c r="F6" s="50"/>
    </row>
    <row r="7" spans="1:6">
      <c r="A7" s="50"/>
      <c r="B7" s="152" t="s">
        <v>377</v>
      </c>
      <c r="C7" s="152" t="s">
        <v>375</v>
      </c>
      <c r="D7" s="153">
        <v>5.01</v>
      </c>
      <c r="E7" s="50"/>
      <c r="F7" s="50"/>
    </row>
    <row r="8" spans="1:6">
      <c r="A8" s="50"/>
      <c r="B8" s="152" t="s">
        <v>200</v>
      </c>
      <c r="C8" s="152" t="s">
        <v>373</v>
      </c>
      <c r="D8" s="161">
        <v>1200</v>
      </c>
      <c r="E8" s="50"/>
      <c r="F8" s="50"/>
    </row>
    <row r="9" spans="1:6">
      <c r="A9" s="50"/>
      <c r="B9" s="50"/>
      <c r="C9" s="50"/>
      <c r="D9" s="50"/>
      <c r="E9" s="50"/>
      <c r="F9" s="50"/>
    </row>
    <row r="10" spans="1:6">
      <c r="A10" s="50"/>
      <c r="B10" s="151" t="s">
        <v>194</v>
      </c>
      <c r="C10" s="151" t="s">
        <v>371</v>
      </c>
      <c r="D10" s="151" t="s">
        <v>378</v>
      </c>
      <c r="E10" s="50"/>
      <c r="F10" s="50"/>
    </row>
    <row r="11" spans="1:6">
      <c r="A11" s="207" t="s">
        <v>335</v>
      </c>
      <c r="B11" s="59" t="str" cm="1">
        <f t="array" ref="B11:D13">_xlfn._xlws.FILTER(B3:D8,C3:C8="Tech")</f>
        <v>Google</v>
      </c>
      <c r="C11" s="57" t="str">
        <v>Tech</v>
      </c>
      <c r="D11" s="57">
        <v>931.78</v>
      </c>
      <c r="E11" s="154" t="s">
        <v>336</v>
      </c>
      <c r="F11" s="50"/>
    </row>
    <row r="12" spans="1:6">
      <c r="A12" s="179"/>
      <c r="B12" s="57" t="str">
        <v>Dell</v>
      </c>
      <c r="C12" s="57" t="str">
        <v>Tech</v>
      </c>
      <c r="D12" s="57">
        <v>36.020000000000003</v>
      </c>
      <c r="E12" s="50"/>
      <c r="F12" s="50"/>
    </row>
    <row r="13" spans="1:6">
      <c r="A13" s="179"/>
      <c r="B13" s="57" t="str">
        <v>Microsoft</v>
      </c>
      <c r="C13" s="57" t="str">
        <v>Tech</v>
      </c>
      <c r="D13" s="162">
        <v>1200</v>
      </c>
      <c r="E13" s="50"/>
      <c r="F13" s="50"/>
    </row>
    <row r="14" spans="1:6">
      <c r="A14" s="50"/>
      <c r="B14" s="50"/>
      <c r="C14" s="50"/>
      <c r="D14" s="50"/>
      <c r="E14" s="50"/>
      <c r="F14" s="50"/>
    </row>
  </sheetData>
  <mergeCells count="2">
    <mergeCell ref="A1:D1"/>
    <mergeCell ref="A11:A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2"/>
  <sheetViews>
    <sheetView tabSelected="1" workbookViewId="0">
      <selection activeCell="A16" sqref="A16"/>
    </sheetView>
  </sheetViews>
  <sheetFormatPr defaultColWidth="14.44140625" defaultRowHeight="15" customHeight="1"/>
  <cols>
    <col min="1" max="1" width="34.44140625" customWidth="1"/>
    <col min="9" max="9" width="31.6640625" customWidth="1"/>
  </cols>
  <sheetData>
    <row r="1" spans="1:14">
      <c r="A1" s="163" t="s">
        <v>379</v>
      </c>
      <c r="J1" s="50"/>
      <c r="K1" s="50"/>
      <c r="L1" s="50"/>
      <c r="M1" s="50"/>
      <c r="N1" s="50"/>
    </row>
    <row r="2" spans="1:14">
      <c r="A2" s="163" t="s">
        <v>380</v>
      </c>
      <c r="J2" s="50"/>
      <c r="K2" s="50"/>
      <c r="L2" s="50"/>
      <c r="M2" s="50"/>
      <c r="N2" s="50"/>
    </row>
    <row r="3" spans="1:14">
      <c r="A3" s="50" t="s">
        <v>381</v>
      </c>
      <c r="J3" s="50"/>
      <c r="K3" s="50"/>
      <c r="L3" s="50"/>
      <c r="M3" s="50"/>
      <c r="N3" s="50"/>
    </row>
    <row r="4" spans="1:14">
      <c r="A4" s="50"/>
      <c r="J4" s="50"/>
      <c r="K4" s="50"/>
      <c r="L4" s="50"/>
      <c r="M4" s="50"/>
      <c r="N4" s="50"/>
    </row>
    <row r="5" spans="1:14">
      <c r="A5" s="51" t="s">
        <v>382</v>
      </c>
      <c r="J5" s="50"/>
      <c r="K5" s="50"/>
      <c r="L5" s="50"/>
      <c r="M5" s="50"/>
      <c r="N5" s="50"/>
    </row>
    <row r="6" spans="1:14">
      <c r="A6" s="93" cm="1">
        <f t="array" aca="1" ref="A6:E10" ca="1">_xlfn.RANDARRAY(5,5,1,20,TRUE)</f>
        <v>17</v>
      </c>
      <c r="B6">
        <f ca="1"/>
        <v>12</v>
      </c>
      <c r="C6">
        <f ca="1"/>
        <v>2</v>
      </c>
      <c r="D6">
        <f ca="1"/>
        <v>3</v>
      </c>
      <c r="E6">
        <f ca="1"/>
        <v>11</v>
      </c>
      <c r="J6" s="50"/>
      <c r="K6" s="50"/>
      <c r="L6" s="50"/>
      <c r="M6" s="50"/>
      <c r="N6" s="50"/>
    </row>
    <row r="7" spans="1:14" ht="15" customHeight="1">
      <c r="A7">
        <f ca="1"/>
        <v>13</v>
      </c>
      <c r="B7">
        <f ca="1"/>
        <v>13</v>
      </c>
      <c r="C7">
        <f ca="1"/>
        <v>17</v>
      </c>
      <c r="D7">
        <f ca="1"/>
        <v>20</v>
      </c>
      <c r="E7">
        <f ca="1"/>
        <v>20</v>
      </c>
    </row>
    <row r="8" spans="1:14" ht="15" customHeight="1">
      <c r="A8">
        <f ca="1"/>
        <v>7</v>
      </c>
      <c r="B8">
        <f ca="1"/>
        <v>20</v>
      </c>
      <c r="C8">
        <f ca="1"/>
        <v>18</v>
      </c>
      <c r="D8">
        <f ca="1"/>
        <v>7</v>
      </c>
      <c r="E8">
        <f ca="1"/>
        <v>6</v>
      </c>
    </row>
    <row r="9" spans="1:14" ht="15" customHeight="1">
      <c r="A9">
        <f ca="1"/>
        <v>20</v>
      </c>
      <c r="B9">
        <f ca="1"/>
        <v>14</v>
      </c>
      <c r="C9">
        <f ca="1"/>
        <v>9</v>
      </c>
      <c r="D9">
        <f ca="1"/>
        <v>16</v>
      </c>
      <c r="E9">
        <f ca="1"/>
        <v>14</v>
      </c>
    </row>
    <row r="10" spans="1:14" ht="15" customHeight="1">
      <c r="A10">
        <f ca="1"/>
        <v>9</v>
      </c>
      <c r="B10">
        <f ca="1"/>
        <v>12</v>
      </c>
      <c r="C10">
        <f ca="1"/>
        <v>15</v>
      </c>
      <c r="D10">
        <f ca="1"/>
        <v>2</v>
      </c>
      <c r="E10">
        <f ca="1"/>
        <v>15</v>
      </c>
    </row>
    <row r="11" spans="1:14">
      <c r="A11" s="50" t="s">
        <v>383</v>
      </c>
      <c r="B11" s="50"/>
      <c r="C11" s="50"/>
      <c r="D11" s="50"/>
      <c r="E11" s="50"/>
      <c r="F11" s="50"/>
      <c r="G11" s="50"/>
      <c r="H11" s="50"/>
      <c r="I11" s="50"/>
    </row>
    <row r="12" spans="1:14">
      <c r="A12" s="50" t="s">
        <v>384</v>
      </c>
      <c r="B12" s="50"/>
      <c r="C12" s="50"/>
      <c r="D12" s="50"/>
      <c r="E12" s="50"/>
      <c r="F12" s="50"/>
      <c r="G12" s="50"/>
      <c r="H12" s="50"/>
      <c r="I12" s="50"/>
    </row>
    <row r="13" spans="1:14">
      <c r="A13" s="50"/>
      <c r="B13" s="50"/>
      <c r="C13" s="50"/>
      <c r="D13" s="50"/>
      <c r="E13" s="50"/>
      <c r="F13" s="50"/>
      <c r="G13" s="50"/>
      <c r="H13" s="50"/>
      <c r="I13" s="50"/>
    </row>
    <row r="14" spans="1:14">
      <c r="A14" s="51" t="s">
        <v>382</v>
      </c>
      <c r="B14" s="50"/>
      <c r="C14" s="50"/>
      <c r="D14" s="50"/>
      <c r="E14" s="50"/>
      <c r="F14" s="50"/>
      <c r="G14" s="50"/>
      <c r="H14" s="50"/>
      <c r="I14" s="50"/>
    </row>
    <row r="15" spans="1:14">
      <c r="A15" s="93" cm="1">
        <f t="array" aca="1" ref="A15:E22" ca="1">_xlfn.RANDARRAY(8,5,10.7,24.3,FALSE)</f>
        <v>23.232613946788227</v>
      </c>
      <c r="B15" s="50">
        <f ca="1"/>
        <v>21.917808652022153</v>
      </c>
      <c r="C15" s="50">
        <f ca="1"/>
        <v>17.224258658329596</v>
      </c>
      <c r="D15" s="50">
        <f ca="1"/>
        <v>16.38223010293764</v>
      </c>
      <c r="E15" s="50">
        <f ca="1"/>
        <v>15.442747233405967</v>
      </c>
      <c r="F15" s="50"/>
      <c r="G15" s="50"/>
      <c r="H15" s="50"/>
      <c r="I15" s="50"/>
    </row>
    <row r="16" spans="1:14">
      <c r="A16" s="50">
        <f ca="1"/>
        <v>13.297381047413026</v>
      </c>
      <c r="B16" s="50">
        <f ca="1"/>
        <v>20.770726455240393</v>
      </c>
      <c r="C16" s="50">
        <f ca="1"/>
        <v>11.619077125378976</v>
      </c>
      <c r="D16" s="50">
        <f ca="1"/>
        <v>18.133449268724654</v>
      </c>
      <c r="E16" s="50">
        <f ca="1"/>
        <v>14.542846616545603</v>
      </c>
      <c r="F16" s="50"/>
      <c r="G16" s="50"/>
      <c r="H16" s="50"/>
      <c r="I16" s="50"/>
    </row>
    <row r="17" spans="1:9">
      <c r="A17" s="50">
        <f ca="1"/>
        <v>19.041893830946233</v>
      </c>
      <c r="B17" s="50">
        <f ca="1"/>
        <v>17.960584778102273</v>
      </c>
      <c r="C17" s="50">
        <f ca="1"/>
        <v>10.884932794535473</v>
      </c>
      <c r="D17" s="50">
        <f ca="1"/>
        <v>16.836901640940201</v>
      </c>
      <c r="E17" s="50">
        <f ca="1"/>
        <v>19.800931305139827</v>
      </c>
      <c r="F17" s="50"/>
      <c r="G17" s="50"/>
      <c r="H17" s="50"/>
      <c r="I17" s="50"/>
    </row>
    <row r="18" spans="1:9" ht="15" customHeight="1">
      <c r="A18">
        <f ca="1"/>
        <v>16.340649452291942</v>
      </c>
      <c r="B18">
        <f ca="1"/>
        <v>12.171500909387795</v>
      </c>
      <c r="C18">
        <f ca="1"/>
        <v>19.2244931117806</v>
      </c>
      <c r="D18">
        <f ca="1"/>
        <v>20.369365170994264</v>
      </c>
      <c r="E18">
        <f ca="1"/>
        <v>22.948949510223152</v>
      </c>
    </row>
    <row r="19" spans="1:9" ht="15" customHeight="1">
      <c r="A19">
        <f ca="1"/>
        <v>10.847049679930731</v>
      </c>
      <c r="B19">
        <f ca="1"/>
        <v>16.820422879605204</v>
      </c>
      <c r="C19">
        <f ca="1"/>
        <v>13.09092302856908</v>
      </c>
      <c r="D19">
        <f ca="1"/>
        <v>21.431860649250687</v>
      </c>
      <c r="E19">
        <f ca="1"/>
        <v>18.557113520706036</v>
      </c>
    </row>
    <row r="20" spans="1:9" ht="15" customHeight="1">
      <c r="A20">
        <f ca="1"/>
        <v>22.917175083434493</v>
      </c>
      <c r="B20">
        <f ca="1"/>
        <v>19.541895355596232</v>
      </c>
      <c r="C20">
        <f ca="1"/>
        <v>15.585547801325284</v>
      </c>
      <c r="D20">
        <f ca="1"/>
        <v>13.549314996715786</v>
      </c>
      <c r="E20">
        <f ca="1"/>
        <v>17.976296158580595</v>
      </c>
    </row>
    <row r="21" spans="1:9" ht="15" customHeight="1">
      <c r="A21">
        <f ca="1"/>
        <v>13.634812854776282</v>
      </c>
      <c r="B21">
        <f ca="1"/>
        <v>11.274913252185772</v>
      </c>
      <c r="C21">
        <f ca="1"/>
        <v>14.961348371411042</v>
      </c>
      <c r="D21">
        <f ca="1"/>
        <v>23.09572136738522</v>
      </c>
      <c r="E21">
        <f ca="1"/>
        <v>19.091678691408109</v>
      </c>
    </row>
    <row r="22" spans="1:9" ht="15" customHeight="1">
      <c r="A22">
        <f ca="1"/>
        <v>13.909484048725979</v>
      </c>
      <c r="B22">
        <f ca="1"/>
        <v>18.71740494727846</v>
      </c>
      <c r="C22">
        <f ca="1"/>
        <v>19.453450313493668</v>
      </c>
      <c r="D22">
        <f ca="1"/>
        <v>11.667247464932956</v>
      </c>
      <c r="E22">
        <f ca="1"/>
        <v>23.472982969956284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Basic Typing</vt:lpstr>
      <vt:lpstr>Cells and Ranges</vt:lpstr>
      <vt:lpstr>Basic Calculations and Referenc</vt:lpstr>
      <vt:lpstr>Referencing Detailed</vt:lpstr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  <vt:lpstr>Logical Operators - ANDOR</vt:lpstr>
      <vt:lpstr>Logical - ISBLANK</vt:lpstr>
      <vt:lpstr>LEFT, MID, RIGHT</vt:lpstr>
      <vt:lpstr>CONCATENATE, TEXT JOIN, CONCAT</vt:lpstr>
      <vt:lpstr>VLOOKUP</vt:lpstr>
      <vt:lpstr>XLOOKUP</vt:lpstr>
      <vt:lpstr>INDEX and MATCH</vt:lpstr>
      <vt:lpstr>SORT and SORTBY</vt:lpstr>
      <vt:lpstr>FILTER</vt:lpstr>
      <vt:lpstr>RANDARRAY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V</cp:lastModifiedBy>
  <dcterms:created xsi:type="dcterms:W3CDTF">2026-06-30T01:53:23Z</dcterms:created>
  <dcterms:modified xsi:type="dcterms:W3CDTF">2026-07-03T05:41:03Z</dcterms:modified>
</cp:coreProperties>
</file>