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.DHANUSH\Downloads\"/>
    </mc:Choice>
  </mc:AlternateContent>
  <xr:revisionPtr revIDLastSave="0" documentId="13_ncr:1_{0BB16EFA-00CC-4D2A-8BE6-6F550670DD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_1&amp;2" sheetId="1" r:id="rId1"/>
    <sheet name="Task_3,4&amp;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" l="1" a="1"/>
  <c r="J20" i="2" s="1"/>
  <c r="J12" i="2" a="1"/>
  <c r="J12" i="2" s="1"/>
  <c r="J4" i="2" a="1"/>
  <c r="J4" i="2" s="1"/>
  <c r="B30" i="2" a="1"/>
  <c r="B30" i="2" s="1"/>
  <c r="B23" i="2" a="1"/>
  <c r="B23" i="2" s="1"/>
  <c r="B17" i="2" a="1"/>
  <c r="B17" i="2" s="1"/>
  <c r="Q17" i="1" a="1"/>
  <c r="Q17" i="1" s="1"/>
  <c r="Q4" i="1" a="1"/>
  <c r="Q4" i="1" s="1"/>
  <c r="I17" i="1" a="1"/>
  <c r="I17" i="1" s="1"/>
  <c r="I4" i="1" a="1"/>
  <c r="I4" i="1" s="1"/>
  <c r="C20" i="1"/>
  <c r="C1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<sst xmlns="http://schemas.openxmlformats.org/spreadsheetml/2006/main" count="109" uniqueCount="54">
  <si>
    <t>Emp ID</t>
  </si>
  <si>
    <t>Employee Name</t>
  </si>
  <si>
    <t>Department</t>
  </si>
  <si>
    <t>Salary</t>
  </si>
  <si>
    <t>Location</t>
  </si>
  <si>
    <t>Joining Year</t>
  </si>
  <si>
    <t>E001</t>
  </si>
  <si>
    <t>Rahul Sharma</t>
  </si>
  <si>
    <t>Sales</t>
  </si>
  <si>
    <t>Delhi</t>
  </si>
  <si>
    <t>E002</t>
  </si>
  <si>
    <t>Anita Singh</t>
  </si>
  <si>
    <t>HR</t>
  </si>
  <si>
    <t>Mumbai</t>
  </si>
  <si>
    <t>E003</t>
  </si>
  <si>
    <t>David Mathews</t>
  </si>
  <si>
    <t>IT</t>
  </si>
  <si>
    <t>Bangalore</t>
  </si>
  <si>
    <t>E004</t>
  </si>
  <si>
    <t>Priya R</t>
  </si>
  <si>
    <t>Pune</t>
  </si>
  <si>
    <t>E005</t>
  </si>
  <si>
    <t>Sunil Kumar</t>
  </si>
  <si>
    <t>Finance</t>
  </si>
  <si>
    <t>E006</t>
  </si>
  <si>
    <t>Maria Lopez</t>
  </si>
  <si>
    <t>Marketing</t>
  </si>
  <si>
    <t>Chennai</t>
  </si>
  <si>
    <t>E007</t>
  </si>
  <si>
    <t>John Paul</t>
  </si>
  <si>
    <t>E008</t>
  </si>
  <si>
    <t>Khushi Jain</t>
  </si>
  <si>
    <t>E009</t>
  </si>
  <si>
    <t>Rohan Mehta</t>
  </si>
  <si>
    <t>Hyderabad</t>
  </si>
  <si>
    <t>E010</t>
  </si>
  <si>
    <t>Aman Verma</t>
  </si>
  <si>
    <t>Task 1 - INDEX + MATCH</t>
  </si>
  <si>
    <t>1. Find the salary of the employee with Emp ID “E006”.</t>
  </si>
  <si>
    <t>2. Find the department of “John Paul” using MATCH + INDEX.</t>
  </si>
  <si>
    <t>Task 2 - SORT / SORTBY</t>
  </si>
  <si>
    <t>1. Sort the entire table by Salary in descending order using SORT.</t>
  </si>
  <si>
    <t>2. Sort employees alphabetically by Employee Name.</t>
  </si>
  <si>
    <t>3. Sort employees by Department (A–Z) and then Salary (lowest to highest).</t>
  </si>
  <si>
    <t>4. Sort employees by Joining Year (oldest to newest).</t>
  </si>
  <si>
    <t xml:space="preserve">Task 3 - FILTER </t>
  </si>
  <si>
    <t>1. Filter only employees who work in the IT department.</t>
  </si>
  <si>
    <t>2. Filter employees who earn more than 60,000.</t>
  </si>
  <si>
    <t>3. Filter employees located in Delhi.</t>
  </si>
  <si>
    <t>Task 4 - UNIQUE / SEQUENCE</t>
  </si>
  <si>
    <t>1. Return a list of unique departments using UNIQUE.</t>
  </si>
  <si>
    <t>2. Generate a sequence of joining years from 2018 to 2023 using SEQUENCE.</t>
  </si>
  <si>
    <t xml:space="preserve">Task 5 - RANDARRAY </t>
  </si>
  <si>
    <t>1. Generate 10 random salary values between 40,000 and 80,000 using RANDARRAY.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</si>
</sst>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.00"/>
  </numFmts>
  <fonts count="6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  <scheme val="minor"/>
    </font>
    <font>
      <b/>
      <sz val="14"/>
      <color rgb="FF1155CC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170" fontId="2" fillId="0" borderId="1" xfId="0" applyNumberFormat="1" applyFont="1" applyBorder="1" applyAlignment="1">
      <alignment horizontal="right"/>
    </xf>
    <xf numFmtId="170" fontId="5" fillId="2" borderId="0" xfId="0" applyNumberFormat="1" applyFont="1" applyFill="1"/>
    <xf numFmtId="0" fontId="3" fillId="0" borderId="0" xfId="0" applyFont="1" applyAlignment="1">
      <alignment vertical="center"/>
    </xf>
    <xf numFmtId="0" fontId="5" fillId="2" borderId="0" xfId="0" applyFont="1" applyFill="1"/>
    <xf numFmtId="170" fontId="0" fillId="0" borderId="0" xfId="0" applyNumberFormat="1"/>
    <xf numFmtId="170" fontId="5" fillId="3" borderId="0" xfId="0" applyNumberFormat="1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7"/>
  <sheetViews>
    <sheetView tabSelected="1" topLeftCell="E1" workbookViewId="0">
      <selection activeCell="P18" sqref="P18"/>
    </sheetView>
  </sheetViews>
  <sheetFormatPr defaultColWidth="12.6640625" defaultRowHeight="15.75" customHeight="1"/>
  <cols>
    <col min="1" max="1" width="8" bestFit="1" customWidth="1"/>
    <col min="2" max="2" width="17.33203125" bestFit="1" customWidth="1"/>
    <col min="3" max="3" width="12.44140625" bestFit="1" customWidth="1"/>
    <col min="4" max="4" width="11.5546875" bestFit="1" customWidth="1"/>
    <col min="5" max="5" width="10.77734375" bestFit="1" customWidth="1"/>
    <col min="6" max="6" width="13.33203125" bestFit="1" customWidth="1"/>
    <col min="9" max="10" width="5.21875" bestFit="1" customWidth="1"/>
    <col min="11" max="11" width="13.21875" bestFit="1" customWidth="1"/>
    <col min="12" max="13" width="10.6640625" bestFit="1" customWidth="1"/>
    <col min="14" max="14" width="9.88671875" bestFit="1" customWidth="1"/>
    <col min="15" max="15" width="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4" t="s">
        <v>40</v>
      </c>
    </row>
    <row r="2" spans="1:22">
      <c r="A2" s="2" t="s">
        <v>6</v>
      </c>
      <c r="B2" s="2" t="s">
        <v>7</v>
      </c>
      <c r="C2" s="2" t="s">
        <v>8</v>
      </c>
      <c r="D2" s="6">
        <v>55000</v>
      </c>
      <c r="E2" s="2" t="s">
        <v>9</v>
      </c>
      <c r="F2" s="3">
        <v>2021</v>
      </c>
      <c r="H2" s="5" t="s">
        <v>41</v>
      </c>
      <c r="P2" s="5" t="s">
        <v>43</v>
      </c>
    </row>
    <row r="3" spans="1:22">
      <c r="A3" s="2" t="s">
        <v>10</v>
      </c>
      <c r="B3" s="2" t="s">
        <v>11</v>
      </c>
      <c r="C3" s="2" t="s">
        <v>12</v>
      </c>
      <c r="D3" s="6">
        <v>48000</v>
      </c>
      <c r="E3" s="2" t="s">
        <v>13</v>
      </c>
      <c r="F3" s="3">
        <v>2019</v>
      </c>
    </row>
    <row r="4" spans="1:22">
      <c r="A4" s="2" t="s">
        <v>14</v>
      </c>
      <c r="B4" s="2" t="s">
        <v>15</v>
      </c>
      <c r="C4" s="2" t="s">
        <v>16</v>
      </c>
      <c r="D4" s="6">
        <v>72000</v>
      </c>
      <c r="E4" s="2" t="s">
        <v>17</v>
      </c>
      <c r="F4" s="3">
        <v>2020</v>
      </c>
      <c r="I4" t="str" cm="1">
        <f t="array" ref="I4:N13">_xlfn._xlws.SORT(A2:F11,4,-1)</f>
        <v>E009</v>
      </c>
      <c r="J4" t="str">
        <v>Rohan Mehta</v>
      </c>
      <c r="K4" t="str">
        <v>IT</v>
      </c>
      <c r="L4" s="7">
        <v>73000</v>
      </c>
      <c r="M4" t="str">
        <v>Hyderabad</v>
      </c>
      <c r="N4">
        <v>2019</v>
      </c>
      <c r="Q4" t="str" cm="1">
        <f t="array" ref="Q4:V13">_xlfn.SORTBY(A2:F11,C2:C11,1,D2:D11,-1)</f>
        <v>E005</v>
      </c>
      <c r="R4" t="str">
        <v>Sunil Kumar</v>
      </c>
      <c r="S4" s="9" t="str">
        <v>Finance</v>
      </c>
      <c r="T4" s="11">
        <v>58000</v>
      </c>
      <c r="U4" t="str">
        <v>Delhi</v>
      </c>
      <c r="V4">
        <v>2021</v>
      </c>
    </row>
    <row r="5" spans="1:22">
      <c r="A5" s="2" t="s">
        <v>18</v>
      </c>
      <c r="B5" s="2" t="s">
        <v>19</v>
      </c>
      <c r="C5" s="2" t="s">
        <v>16</v>
      </c>
      <c r="D5" s="6">
        <v>69000</v>
      </c>
      <c r="E5" s="2" t="s">
        <v>20</v>
      </c>
      <c r="F5" s="3">
        <v>2022</v>
      </c>
      <c r="I5" t="str">
        <v>E003</v>
      </c>
      <c r="J5" t="str">
        <v>David Mathews</v>
      </c>
      <c r="K5" t="str">
        <v>IT</v>
      </c>
      <c r="L5" s="7">
        <v>72000</v>
      </c>
      <c r="M5" t="str">
        <v>Bangalore</v>
      </c>
      <c r="N5">
        <v>2020</v>
      </c>
      <c r="Q5" t="str">
        <v>E010</v>
      </c>
      <c r="R5" t="str">
        <v>Aman Verma</v>
      </c>
      <c r="S5" s="9" t="str">
        <v>Finance</v>
      </c>
      <c r="T5" s="11">
        <v>54000</v>
      </c>
      <c r="U5" t="str">
        <v>Delhi</v>
      </c>
      <c r="V5">
        <v>2020</v>
      </c>
    </row>
    <row r="6" spans="1:22">
      <c r="A6" s="2" t="s">
        <v>21</v>
      </c>
      <c r="B6" s="2" t="s">
        <v>22</v>
      </c>
      <c r="C6" s="2" t="s">
        <v>23</v>
      </c>
      <c r="D6" s="6">
        <v>58000</v>
      </c>
      <c r="E6" s="2" t="s">
        <v>9</v>
      </c>
      <c r="F6" s="3">
        <v>2021</v>
      </c>
      <c r="I6" t="str">
        <v>E004</v>
      </c>
      <c r="J6" t="str">
        <v>Priya R</v>
      </c>
      <c r="K6" t="str">
        <v>IT</v>
      </c>
      <c r="L6" s="7">
        <v>69000</v>
      </c>
      <c r="M6" t="str">
        <v>Pune</v>
      </c>
      <c r="N6">
        <v>2022</v>
      </c>
      <c r="Q6" t="str">
        <v>E002</v>
      </c>
      <c r="R6" t="str">
        <v>Anita Singh</v>
      </c>
      <c r="S6" s="9" t="str">
        <v>HR</v>
      </c>
      <c r="T6" s="11">
        <v>48000</v>
      </c>
      <c r="U6" t="str">
        <v>Mumbai</v>
      </c>
      <c r="V6">
        <v>2019</v>
      </c>
    </row>
    <row r="7" spans="1:22">
      <c r="A7" s="2" t="s">
        <v>24</v>
      </c>
      <c r="B7" s="2" t="s">
        <v>25</v>
      </c>
      <c r="C7" s="2" t="s">
        <v>26</v>
      </c>
      <c r="D7" s="6">
        <v>51000</v>
      </c>
      <c r="E7" s="2" t="s">
        <v>27</v>
      </c>
      <c r="F7" s="3">
        <v>2018</v>
      </c>
      <c r="I7" t="str">
        <v>E007</v>
      </c>
      <c r="J7" t="str">
        <v>John Paul</v>
      </c>
      <c r="K7" t="str">
        <v>Sales</v>
      </c>
      <c r="L7" s="7">
        <v>60000</v>
      </c>
      <c r="M7" t="str">
        <v>Mumbai</v>
      </c>
      <c r="N7">
        <v>2023</v>
      </c>
      <c r="Q7" t="str">
        <v>E008</v>
      </c>
      <c r="R7" t="str">
        <v>Khushi Jain</v>
      </c>
      <c r="S7" s="9" t="str">
        <v>HR</v>
      </c>
      <c r="T7" s="11">
        <v>47000</v>
      </c>
      <c r="U7" t="str">
        <v>Bangalore</v>
      </c>
      <c r="V7">
        <v>2022</v>
      </c>
    </row>
    <row r="8" spans="1:22">
      <c r="A8" s="2" t="s">
        <v>28</v>
      </c>
      <c r="B8" s="2" t="s">
        <v>29</v>
      </c>
      <c r="C8" s="2" t="s">
        <v>8</v>
      </c>
      <c r="D8" s="6">
        <v>60000</v>
      </c>
      <c r="E8" s="2" t="s">
        <v>13</v>
      </c>
      <c r="F8" s="3">
        <v>2023</v>
      </c>
      <c r="I8" t="str">
        <v>E005</v>
      </c>
      <c r="J8" t="str">
        <v>Sunil Kumar</v>
      </c>
      <c r="K8" t="str">
        <v>Finance</v>
      </c>
      <c r="L8" s="7">
        <v>58000</v>
      </c>
      <c r="M8" t="str">
        <v>Delhi</v>
      </c>
      <c r="N8">
        <v>2021</v>
      </c>
      <c r="Q8" t="str">
        <v>E009</v>
      </c>
      <c r="R8" t="str">
        <v>Rohan Mehta</v>
      </c>
      <c r="S8" s="9" t="str">
        <v>IT</v>
      </c>
      <c r="T8" s="11">
        <v>73000</v>
      </c>
      <c r="U8" t="str">
        <v>Hyderabad</v>
      </c>
      <c r="V8">
        <v>2019</v>
      </c>
    </row>
    <row r="9" spans="1:22">
      <c r="A9" s="2" t="s">
        <v>30</v>
      </c>
      <c r="B9" s="2" t="s">
        <v>31</v>
      </c>
      <c r="C9" s="2" t="s">
        <v>12</v>
      </c>
      <c r="D9" s="6">
        <v>47000</v>
      </c>
      <c r="E9" s="2" t="s">
        <v>17</v>
      </c>
      <c r="F9" s="3">
        <v>2022</v>
      </c>
      <c r="H9" s="8"/>
      <c r="I9" t="str">
        <v>E001</v>
      </c>
      <c r="J9" t="str">
        <v>Rahul Sharma</v>
      </c>
      <c r="K9" t="str">
        <v>Sales</v>
      </c>
      <c r="L9" s="7">
        <v>55000</v>
      </c>
      <c r="M9" t="str">
        <v>Delhi</v>
      </c>
      <c r="N9">
        <v>2021</v>
      </c>
      <c r="Q9" t="str">
        <v>E003</v>
      </c>
      <c r="R9" t="str">
        <v>David Mathews</v>
      </c>
      <c r="S9" s="9" t="str">
        <v>IT</v>
      </c>
      <c r="T9" s="11">
        <v>72000</v>
      </c>
      <c r="U9" t="str">
        <v>Bangalore</v>
      </c>
      <c r="V9">
        <v>2020</v>
      </c>
    </row>
    <row r="10" spans="1:22">
      <c r="A10" s="2" t="s">
        <v>32</v>
      </c>
      <c r="B10" s="2" t="s">
        <v>33</v>
      </c>
      <c r="C10" s="2" t="s">
        <v>16</v>
      </c>
      <c r="D10" s="6">
        <v>73000</v>
      </c>
      <c r="E10" s="2" t="s">
        <v>34</v>
      </c>
      <c r="F10" s="3">
        <v>2019</v>
      </c>
      <c r="I10" t="str">
        <v>E010</v>
      </c>
      <c r="J10" t="str">
        <v>Aman Verma</v>
      </c>
      <c r="K10" t="str">
        <v>Finance</v>
      </c>
      <c r="L10" s="7">
        <v>54000</v>
      </c>
      <c r="M10" t="str">
        <v>Delhi</v>
      </c>
      <c r="N10">
        <v>2020</v>
      </c>
      <c r="Q10" t="str">
        <v>E004</v>
      </c>
      <c r="R10" t="str">
        <v>Priya R</v>
      </c>
      <c r="S10" s="9" t="str">
        <v>IT</v>
      </c>
      <c r="T10" s="11">
        <v>69000</v>
      </c>
      <c r="U10" t="str">
        <v>Pune</v>
      </c>
      <c r="V10">
        <v>2022</v>
      </c>
    </row>
    <row r="11" spans="1:22">
      <c r="A11" s="2" t="s">
        <v>35</v>
      </c>
      <c r="B11" s="2" t="s">
        <v>36</v>
      </c>
      <c r="C11" s="2" t="s">
        <v>23</v>
      </c>
      <c r="D11" s="6">
        <v>54000</v>
      </c>
      <c r="E11" s="2" t="s">
        <v>9</v>
      </c>
      <c r="F11" s="3">
        <v>2020</v>
      </c>
      <c r="I11" t="str">
        <v>E006</v>
      </c>
      <c r="J11" t="str">
        <v>Maria Lopez</v>
      </c>
      <c r="K11" t="str">
        <v>Marketing</v>
      </c>
      <c r="L11" s="7">
        <v>51000</v>
      </c>
      <c r="M11" t="str">
        <v>Chennai</v>
      </c>
      <c r="N11">
        <v>2018</v>
      </c>
      <c r="Q11" t="str">
        <v>E006</v>
      </c>
      <c r="R11" t="str">
        <v>Maria Lopez</v>
      </c>
      <c r="S11" s="9" t="str">
        <v>Marketing</v>
      </c>
      <c r="T11" s="11">
        <v>51000</v>
      </c>
      <c r="U11" t="str">
        <v>Chennai</v>
      </c>
      <c r="V11">
        <v>2018</v>
      </c>
    </row>
    <row r="12" spans="1:22" ht="15.75" customHeight="1">
      <c r="I12" t="str">
        <v>E002</v>
      </c>
      <c r="J12" t="str">
        <v>Anita Singh</v>
      </c>
      <c r="K12" t="str">
        <v>HR</v>
      </c>
      <c r="L12" s="7">
        <v>48000</v>
      </c>
      <c r="M12" t="str">
        <v>Mumbai</v>
      </c>
      <c r="N12">
        <v>2019</v>
      </c>
      <c r="Q12" t="str">
        <v>E007</v>
      </c>
      <c r="R12" t="str">
        <v>John Paul</v>
      </c>
      <c r="S12" s="9" t="str">
        <v>Sales</v>
      </c>
      <c r="T12" s="11">
        <v>60000</v>
      </c>
      <c r="U12" t="str">
        <v>Mumbai</v>
      </c>
      <c r="V12">
        <v>2023</v>
      </c>
    </row>
    <row r="13" spans="1:22" ht="15.75" customHeight="1">
      <c r="A13" s="4" t="s">
        <v>37</v>
      </c>
      <c r="I13" t="str">
        <v>E008</v>
      </c>
      <c r="J13" t="str">
        <v>Khushi Jain</v>
      </c>
      <c r="K13" t="str">
        <v>HR</v>
      </c>
      <c r="L13" s="7">
        <v>47000</v>
      </c>
      <c r="M13" t="str">
        <v>Bangalore</v>
      </c>
      <c r="N13">
        <v>2022</v>
      </c>
      <c r="Q13" t="str">
        <v>E001</v>
      </c>
      <c r="R13" t="str">
        <v>Rahul Sharma</v>
      </c>
      <c r="S13" s="9" t="str">
        <v>Sales</v>
      </c>
      <c r="T13" s="11">
        <v>55000</v>
      </c>
      <c r="U13" t="str">
        <v>Delhi</v>
      </c>
      <c r="V13">
        <v>2021</v>
      </c>
    </row>
    <row r="14" spans="1:22" ht="15.75" customHeight="1">
      <c r="A14" s="5" t="s">
        <v>38</v>
      </c>
    </row>
    <row r="15" spans="1:22" ht="15.75" customHeight="1">
      <c r="H15" s="5" t="s">
        <v>42</v>
      </c>
      <c r="P15" s="5" t="s">
        <v>44</v>
      </c>
    </row>
    <row r="16" spans="1:22" ht="15.75" customHeight="1">
      <c r="C16" s="7">
        <f>INDEX(A2:F11,6,4)</f>
        <v>51000</v>
      </c>
    </row>
    <row r="17" spans="1:22" ht="15.75" customHeight="1">
      <c r="I17" t="str" cm="1">
        <f t="array" ref="I17:N26">_xlfn._xlws.SORT(A2:F11,2,1)</f>
        <v>E010</v>
      </c>
      <c r="J17" t="str">
        <v>Aman Verma</v>
      </c>
      <c r="K17" s="9" t="str">
        <v>Finance</v>
      </c>
      <c r="L17" s="10">
        <v>54000</v>
      </c>
      <c r="M17" t="str">
        <v>Delhi</v>
      </c>
      <c r="N17">
        <v>2020</v>
      </c>
      <c r="Q17" t="str" cm="1">
        <f t="array" ref="Q17:V26">_xlfn.SORTBY(A2:F11,F2:F11,1)</f>
        <v>E006</v>
      </c>
      <c r="R17" t="str">
        <v>Maria Lopez</v>
      </c>
      <c r="S17" t="str">
        <v>Marketing</v>
      </c>
      <c r="T17" s="10">
        <v>51000</v>
      </c>
      <c r="U17" t="str">
        <v>Chennai</v>
      </c>
      <c r="V17" s="9">
        <v>2018</v>
      </c>
    </row>
    <row r="18" spans="1:22" ht="15.75" customHeight="1">
      <c r="A18" s="5" t="s">
        <v>39</v>
      </c>
      <c r="I18" t="str">
        <v>E002</v>
      </c>
      <c r="J18" t="str">
        <v>Anita Singh</v>
      </c>
      <c r="K18" s="9" t="str">
        <v>HR</v>
      </c>
      <c r="L18" s="10">
        <v>48000</v>
      </c>
      <c r="M18" s="10" t="str">
        <v>Mumbai</v>
      </c>
      <c r="N18">
        <v>2019</v>
      </c>
      <c r="Q18" t="str">
        <v>E002</v>
      </c>
      <c r="R18" t="str">
        <v>Anita Singh</v>
      </c>
      <c r="S18" t="str">
        <v>HR</v>
      </c>
      <c r="T18" s="10">
        <v>48000</v>
      </c>
      <c r="U18" t="str">
        <v>Mumbai</v>
      </c>
      <c r="V18" s="9">
        <v>2019</v>
      </c>
    </row>
    <row r="19" spans="1:22" ht="15.75" customHeight="1">
      <c r="I19" t="str">
        <v>E003</v>
      </c>
      <c r="J19" t="str">
        <v>David Mathews</v>
      </c>
      <c r="K19" s="9" t="str">
        <v>IT</v>
      </c>
      <c r="L19" s="10">
        <v>72000</v>
      </c>
      <c r="M19" s="10" t="str">
        <v>Bangalore</v>
      </c>
      <c r="N19">
        <v>2020</v>
      </c>
      <c r="Q19" t="str">
        <v>E009</v>
      </c>
      <c r="R19" t="str">
        <v>Rohan Mehta</v>
      </c>
      <c r="S19" t="str">
        <v>IT</v>
      </c>
      <c r="T19" s="10">
        <v>73000</v>
      </c>
      <c r="U19" t="str">
        <v>Hyderabad</v>
      </c>
      <c r="V19" s="9">
        <v>2019</v>
      </c>
    </row>
    <row r="20" spans="1:22" ht="15.75" customHeight="1">
      <c r="C20" s="9" t="str">
        <f>INDEX(C2:C11, MATCH(B8,B2:B11,0))</f>
        <v>Sales</v>
      </c>
      <c r="I20" t="str">
        <v>E007</v>
      </c>
      <c r="J20" t="str">
        <v>John Paul</v>
      </c>
      <c r="K20" s="9" t="str">
        <v>Sales</v>
      </c>
      <c r="L20" s="10">
        <v>60000</v>
      </c>
      <c r="M20" s="10" t="str">
        <v>Mumbai</v>
      </c>
      <c r="N20">
        <v>2023</v>
      </c>
      <c r="Q20" t="str">
        <v>E003</v>
      </c>
      <c r="R20" t="str">
        <v>David Mathews</v>
      </c>
      <c r="S20" t="str">
        <v>IT</v>
      </c>
      <c r="T20" s="10">
        <v>72000</v>
      </c>
      <c r="U20" t="str">
        <v>Bangalore</v>
      </c>
      <c r="V20" s="9">
        <v>2020</v>
      </c>
    </row>
    <row r="21" spans="1:22" ht="15.75" customHeight="1">
      <c r="I21" t="str">
        <v>E008</v>
      </c>
      <c r="J21" t="str">
        <v>Khushi Jain</v>
      </c>
      <c r="K21" s="9" t="str">
        <v>HR</v>
      </c>
      <c r="L21" s="10">
        <v>47000</v>
      </c>
      <c r="M21" s="10" t="str">
        <v>Bangalore</v>
      </c>
      <c r="N21">
        <v>2022</v>
      </c>
      <c r="Q21" t="str">
        <v>E010</v>
      </c>
      <c r="R21" t="str">
        <v>Aman Verma</v>
      </c>
      <c r="S21" t="str">
        <v>Finance</v>
      </c>
      <c r="T21" s="10">
        <v>54000</v>
      </c>
      <c r="U21" t="str">
        <v>Delhi</v>
      </c>
      <c r="V21" s="9">
        <v>2020</v>
      </c>
    </row>
    <row r="22" spans="1:22" ht="15.75" customHeight="1">
      <c r="I22" t="str">
        <v>E006</v>
      </c>
      <c r="J22" t="str">
        <v>Maria Lopez</v>
      </c>
      <c r="K22" s="9" t="str">
        <v>Marketing</v>
      </c>
      <c r="L22" s="10">
        <v>51000</v>
      </c>
      <c r="M22" s="10" t="str">
        <v>Chennai</v>
      </c>
      <c r="N22">
        <v>2018</v>
      </c>
      <c r="Q22" t="str">
        <v>E001</v>
      </c>
      <c r="R22" t="str">
        <v>Rahul Sharma</v>
      </c>
      <c r="S22" t="str">
        <v>Sales</v>
      </c>
      <c r="T22" s="10">
        <v>55000</v>
      </c>
      <c r="U22" t="str">
        <v>Delhi</v>
      </c>
      <c r="V22" s="9">
        <v>2021</v>
      </c>
    </row>
    <row r="23" spans="1:22" ht="15.75" customHeight="1">
      <c r="I23" t="str">
        <v>E004</v>
      </c>
      <c r="J23" t="str">
        <v>Priya R</v>
      </c>
      <c r="K23" s="9" t="str">
        <v>IT</v>
      </c>
      <c r="L23" s="10">
        <v>69000</v>
      </c>
      <c r="M23" s="10" t="str">
        <v>Pune</v>
      </c>
      <c r="N23">
        <v>2022</v>
      </c>
      <c r="Q23" t="str">
        <v>E005</v>
      </c>
      <c r="R23" t="str">
        <v>Sunil Kumar</v>
      </c>
      <c r="S23" t="str">
        <v>Finance</v>
      </c>
      <c r="T23" s="10">
        <v>58000</v>
      </c>
      <c r="U23" t="str">
        <v>Delhi</v>
      </c>
      <c r="V23" s="9">
        <v>2021</v>
      </c>
    </row>
    <row r="24" spans="1:22" ht="15.75" customHeight="1">
      <c r="I24" t="str">
        <v>E001</v>
      </c>
      <c r="J24" t="str">
        <v>Rahul Sharma</v>
      </c>
      <c r="K24" s="9" t="str">
        <v>Sales</v>
      </c>
      <c r="L24" s="10">
        <v>55000</v>
      </c>
      <c r="M24" s="10" t="str">
        <v>Delhi</v>
      </c>
      <c r="N24">
        <v>2021</v>
      </c>
      <c r="Q24" t="str">
        <v>E004</v>
      </c>
      <c r="R24" t="str">
        <v>Priya R</v>
      </c>
      <c r="S24" t="str">
        <v>IT</v>
      </c>
      <c r="T24" s="10">
        <v>69000</v>
      </c>
      <c r="U24" t="str">
        <v>Pune</v>
      </c>
      <c r="V24" s="9">
        <v>2022</v>
      </c>
    </row>
    <row r="25" spans="1:22" ht="15.75" customHeight="1">
      <c r="I25" t="str">
        <v>E009</v>
      </c>
      <c r="J25" t="str">
        <v>Rohan Mehta</v>
      </c>
      <c r="K25" s="9" t="str">
        <v>IT</v>
      </c>
      <c r="L25" s="10">
        <v>73000</v>
      </c>
      <c r="M25" s="10" t="str">
        <v>Hyderabad</v>
      </c>
      <c r="N25">
        <v>2019</v>
      </c>
      <c r="Q25" t="str">
        <v>E008</v>
      </c>
      <c r="R25" t="str">
        <v>Khushi Jain</v>
      </c>
      <c r="S25" t="str">
        <v>HR</v>
      </c>
      <c r="T25" s="10">
        <v>47000</v>
      </c>
      <c r="U25" t="str">
        <v>Bangalore</v>
      </c>
      <c r="V25" s="9">
        <v>2022</v>
      </c>
    </row>
    <row r="26" spans="1:22" ht="15.75" customHeight="1">
      <c r="I26" t="str">
        <v>E005</v>
      </c>
      <c r="J26" t="str">
        <v>Sunil Kumar</v>
      </c>
      <c r="K26" s="9" t="str">
        <v>Finance</v>
      </c>
      <c r="L26" s="10">
        <v>58000</v>
      </c>
      <c r="M26" s="10" t="str">
        <v>Delhi</v>
      </c>
      <c r="N26">
        <v>2021</v>
      </c>
      <c r="Q26" t="str">
        <v>E007</v>
      </c>
      <c r="R26" t="str">
        <v>John Paul</v>
      </c>
      <c r="S26" t="str">
        <v>Sales</v>
      </c>
      <c r="T26" s="10">
        <v>60000</v>
      </c>
      <c r="U26" t="str">
        <v>Mumbai</v>
      </c>
      <c r="V26" s="9">
        <v>2023</v>
      </c>
    </row>
    <row r="27" spans="1:22" ht="15.75" customHeight="1">
      <c r="M2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78D9-C7BE-4A46-9E09-B60EBFD1D4D5}">
  <dimension ref="A1:N32"/>
  <sheetViews>
    <sheetView workbookViewId="0">
      <selection activeCell="P36" sqref="P36"/>
    </sheetView>
  </sheetViews>
  <sheetFormatPr defaultRowHeight="13.2"/>
  <cols>
    <col min="1" max="1" width="8" bestFit="1" customWidth="1"/>
    <col min="2" max="2" width="17.33203125" bestFit="1" customWidth="1"/>
    <col min="3" max="3" width="12.44140625" bestFit="1" customWidth="1"/>
    <col min="4" max="4" width="11.5546875" bestFit="1" customWidth="1"/>
    <col min="5" max="5" width="10.77734375" bestFit="1" customWidth="1"/>
    <col min="6" max="6" width="13.33203125" bestFit="1" customWidth="1"/>
    <col min="10" max="14" width="10.6640625" bestFit="1" customWidth="1"/>
  </cols>
  <sheetData>
    <row r="1" spans="1:11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4" t="s">
        <v>49</v>
      </c>
    </row>
    <row r="2" spans="1:11" ht="13.8">
      <c r="A2" s="2" t="s">
        <v>6</v>
      </c>
      <c r="B2" s="2" t="s">
        <v>7</v>
      </c>
      <c r="C2" s="2" t="s">
        <v>8</v>
      </c>
      <c r="D2" s="6">
        <v>55000</v>
      </c>
      <c r="E2" s="2" t="s">
        <v>9</v>
      </c>
      <c r="F2" s="3">
        <v>2021</v>
      </c>
      <c r="H2" s="5" t="s">
        <v>50</v>
      </c>
    </row>
    <row r="3" spans="1:11" ht="13.8">
      <c r="A3" s="2" t="s">
        <v>10</v>
      </c>
      <c r="B3" s="2" t="s">
        <v>11</v>
      </c>
      <c r="C3" s="2" t="s">
        <v>12</v>
      </c>
      <c r="D3" s="6">
        <v>48000</v>
      </c>
      <c r="E3" s="2" t="s">
        <v>13</v>
      </c>
      <c r="F3" s="3">
        <v>2019</v>
      </c>
    </row>
    <row r="4" spans="1:11" ht="13.8">
      <c r="A4" s="2" t="s">
        <v>14</v>
      </c>
      <c r="B4" s="2" t="s">
        <v>15</v>
      </c>
      <c r="C4" s="2" t="s">
        <v>16</v>
      </c>
      <c r="D4" s="6">
        <v>72000</v>
      </c>
      <c r="E4" s="2" t="s">
        <v>17</v>
      </c>
      <c r="F4" s="3">
        <v>2020</v>
      </c>
      <c r="J4" s="9" t="str" cm="1">
        <f t="array" ref="J4:J8">_xlfn.UNIQUE(C2:C11,FALSE,FALSE)</f>
        <v>Sales</v>
      </c>
    </row>
    <row r="5" spans="1:11" ht="13.8">
      <c r="A5" s="2" t="s">
        <v>18</v>
      </c>
      <c r="B5" s="2" t="s">
        <v>19</v>
      </c>
      <c r="C5" s="2" t="s">
        <v>16</v>
      </c>
      <c r="D5" s="6">
        <v>69000</v>
      </c>
      <c r="E5" s="2" t="s">
        <v>20</v>
      </c>
      <c r="F5" s="3">
        <v>2022</v>
      </c>
      <c r="J5" s="9" t="str">
        <v>HR</v>
      </c>
    </row>
    <row r="6" spans="1:11" ht="13.8">
      <c r="A6" s="2" t="s">
        <v>21</v>
      </c>
      <c r="B6" s="2" t="s">
        <v>22</v>
      </c>
      <c r="C6" s="2" t="s">
        <v>23</v>
      </c>
      <c r="D6" s="6">
        <v>58000</v>
      </c>
      <c r="E6" s="2" t="s">
        <v>9</v>
      </c>
      <c r="F6" s="3">
        <v>2021</v>
      </c>
      <c r="J6" s="9" t="str">
        <v>IT</v>
      </c>
    </row>
    <row r="7" spans="1:11" ht="13.8">
      <c r="A7" s="2" t="s">
        <v>24</v>
      </c>
      <c r="B7" s="2" t="s">
        <v>25</v>
      </c>
      <c r="C7" s="2" t="s">
        <v>26</v>
      </c>
      <c r="D7" s="6">
        <v>51000</v>
      </c>
      <c r="E7" s="2" t="s">
        <v>27</v>
      </c>
      <c r="F7" s="3">
        <v>2018</v>
      </c>
      <c r="J7" s="9" t="str">
        <v>Finance</v>
      </c>
    </row>
    <row r="8" spans="1:11" ht="13.8">
      <c r="A8" s="2" t="s">
        <v>28</v>
      </c>
      <c r="B8" s="2" t="s">
        <v>29</v>
      </c>
      <c r="C8" s="2" t="s">
        <v>8</v>
      </c>
      <c r="D8" s="6">
        <v>60000</v>
      </c>
      <c r="E8" s="2" t="s">
        <v>13</v>
      </c>
      <c r="F8" s="3">
        <v>2023</v>
      </c>
      <c r="J8" s="9" t="str">
        <v>Marketing</v>
      </c>
    </row>
    <row r="9" spans="1:11" ht="13.8">
      <c r="A9" s="2" t="s">
        <v>30</v>
      </c>
      <c r="B9" s="2" t="s">
        <v>31</v>
      </c>
      <c r="C9" s="2" t="s">
        <v>12</v>
      </c>
      <c r="D9" s="6">
        <v>47000</v>
      </c>
      <c r="E9" s="2" t="s">
        <v>17</v>
      </c>
      <c r="F9" s="3">
        <v>2022</v>
      </c>
    </row>
    <row r="10" spans="1:11" ht="13.8">
      <c r="A10" s="2" t="s">
        <v>32</v>
      </c>
      <c r="B10" s="2" t="s">
        <v>33</v>
      </c>
      <c r="C10" s="2" t="s">
        <v>16</v>
      </c>
      <c r="D10" s="6">
        <v>73000</v>
      </c>
      <c r="E10" s="2" t="s">
        <v>34</v>
      </c>
      <c r="F10" s="3">
        <v>2019</v>
      </c>
      <c r="H10" s="5" t="s">
        <v>51</v>
      </c>
    </row>
    <row r="11" spans="1:11" ht="13.8">
      <c r="A11" s="2" t="s">
        <v>35</v>
      </c>
      <c r="B11" s="2" t="s">
        <v>36</v>
      </c>
      <c r="C11" s="2" t="s">
        <v>23</v>
      </c>
      <c r="D11" s="6">
        <v>54000</v>
      </c>
      <c r="E11" s="2" t="s">
        <v>9</v>
      </c>
      <c r="F11" s="3">
        <v>2020</v>
      </c>
    </row>
    <row r="12" spans="1:11">
      <c r="J12" s="9" cm="1">
        <f t="array" ref="J12:K14">_xlfn.SEQUENCE(3,2,2018,1)</f>
        <v>2018</v>
      </c>
      <c r="K12">
        <v>2019</v>
      </c>
    </row>
    <row r="13" spans="1:11">
      <c r="J13">
        <v>2020</v>
      </c>
      <c r="K13">
        <v>2021</v>
      </c>
    </row>
    <row r="14" spans="1:11" ht="17.399999999999999">
      <c r="A14" s="4" t="s">
        <v>45</v>
      </c>
      <c r="J14">
        <v>2022</v>
      </c>
      <c r="K14" s="9">
        <v>2023</v>
      </c>
    </row>
    <row r="15" spans="1:11" ht="13.8">
      <c r="A15" s="5" t="s">
        <v>46</v>
      </c>
    </row>
    <row r="17" spans="1:14" ht="17.399999999999999">
      <c r="B17" s="9" t="str" cm="1">
        <f t="array" ref="B17:C19">_xlfn._xlws.FILTER(B2:C11,C2:C11="IT")</f>
        <v>David Mathews</v>
      </c>
      <c r="C17" s="12" t="str">
        <v>IT</v>
      </c>
      <c r="H17" s="4" t="s">
        <v>52</v>
      </c>
    </row>
    <row r="18" spans="1:14" ht="13.8">
      <c r="B18" s="9" t="str">
        <v>Priya R</v>
      </c>
      <c r="C18" s="12" t="str">
        <v>IT</v>
      </c>
      <c r="H18" s="5" t="s">
        <v>53</v>
      </c>
    </row>
    <row r="19" spans="1:14">
      <c r="B19" s="9" t="str">
        <v>Rohan Mehta</v>
      </c>
      <c r="C19" s="12" t="str">
        <v>IT</v>
      </c>
    </row>
    <row r="20" spans="1:14">
      <c r="J20" s="7" cm="1">
        <f t="array" aca="1" ref="J20:N29" ca="1">_xlfn.RANDARRAY(10,5,40000,80000,TRUE)</f>
        <v>71540</v>
      </c>
      <c r="K20" s="10">
        <f ca="1"/>
        <v>59310</v>
      </c>
      <c r="L20" s="10">
        <f ca="1"/>
        <v>49956</v>
      </c>
      <c r="M20" s="10">
        <f ca="1"/>
        <v>70327</v>
      </c>
      <c r="N20" s="10">
        <f ca="1"/>
        <v>72135</v>
      </c>
    </row>
    <row r="21" spans="1:14" ht="13.8">
      <c r="A21" s="5" t="s">
        <v>47</v>
      </c>
      <c r="J21" s="10">
        <f ca="1"/>
        <v>56412</v>
      </c>
      <c r="K21" s="10">
        <f ca="1"/>
        <v>59089</v>
      </c>
      <c r="L21" s="10">
        <f ca="1"/>
        <v>64335</v>
      </c>
      <c r="M21" s="10">
        <f ca="1"/>
        <v>41916</v>
      </c>
      <c r="N21" s="10">
        <f ca="1"/>
        <v>44251</v>
      </c>
    </row>
    <row r="22" spans="1:14">
      <c r="J22" s="10">
        <f ca="1"/>
        <v>60088</v>
      </c>
      <c r="K22" s="10">
        <f ca="1"/>
        <v>49887</v>
      </c>
      <c r="L22" s="10">
        <f ca="1"/>
        <v>42030</v>
      </c>
      <c r="M22" s="10">
        <f ca="1"/>
        <v>48694</v>
      </c>
      <c r="N22" s="10">
        <f ca="1"/>
        <v>57773</v>
      </c>
    </row>
    <row r="23" spans="1:14">
      <c r="B23" s="9" t="str" cm="1">
        <f t="array" ref="B23:D25">_xlfn._xlws.FILTER(B2:D11,D2:D11&gt;60000)</f>
        <v>David Mathews</v>
      </c>
      <c r="C23" t="str">
        <v>IT</v>
      </c>
      <c r="D23" s="10">
        <v>72000</v>
      </c>
      <c r="J23" s="10">
        <f ca="1"/>
        <v>51654</v>
      </c>
      <c r="K23" s="10">
        <f ca="1"/>
        <v>71424</v>
      </c>
      <c r="L23" s="10">
        <f ca="1"/>
        <v>75672</v>
      </c>
      <c r="M23" s="10">
        <f ca="1"/>
        <v>62838</v>
      </c>
      <c r="N23" s="10">
        <f ca="1"/>
        <v>61858</v>
      </c>
    </row>
    <row r="24" spans="1:14">
      <c r="B24" s="9" t="str">
        <v>Priya R</v>
      </c>
      <c r="C24" t="str">
        <v>IT</v>
      </c>
      <c r="D24" s="10">
        <v>69000</v>
      </c>
      <c r="J24" s="10">
        <f ca="1"/>
        <v>52729</v>
      </c>
      <c r="K24" s="10">
        <f ca="1"/>
        <v>67866</v>
      </c>
      <c r="L24" s="10">
        <f ca="1"/>
        <v>65726</v>
      </c>
      <c r="M24" s="10">
        <f ca="1"/>
        <v>76196</v>
      </c>
      <c r="N24" s="10">
        <f ca="1"/>
        <v>75746</v>
      </c>
    </row>
    <row r="25" spans="1:14">
      <c r="B25" s="9" t="str">
        <v>Rohan Mehta</v>
      </c>
      <c r="C25" t="str">
        <v>IT</v>
      </c>
      <c r="D25" s="10">
        <v>73000</v>
      </c>
      <c r="J25" s="10">
        <f ca="1"/>
        <v>46636</v>
      </c>
      <c r="K25" s="10">
        <f ca="1"/>
        <v>51694</v>
      </c>
      <c r="L25" s="10">
        <f ca="1"/>
        <v>53905</v>
      </c>
      <c r="M25" s="10">
        <f ca="1"/>
        <v>55451</v>
      </c>
      <c r="N25" s="10">
        <f ca="1"/>
        <v>45396</v>
      </c>
    </row>
    <row r="26" spans="1:14">
      <c r="J26" s="10">
        <f ca="1"/>
        <v>77170</v>
      </c>
      <c r="K26" s="10">
        <f ca="1"/>
        <v>65050</v>
      </c>
      <c r="L26" s="10">
        <f ca="1"/>
        <v>75989</v>
      </c>
      <c r="M26" s="10">
        <f ca="1"/>
        <v>63314</v>
      </c>
      <c r="N26" s="10">
        <f ca="1"/>
        <v>72233</v>
      </c>
    </row>
    <row r="27" spans="1:14">
      <c r="J27" s="10">
        <f ca="1"/>
        <v>45050</v>
      </c>
      <c r="K27" s="10">
        <f ca="1"/>
        <v>51477</v>
      </c>
      <c r="L27" s="7">
        <f ca="1"/>
        <v>68041</v>
      </c>
      <c r="M27" s="10">
        <f ca="1"/>
        <v>68730</v>
      </c>
      <c r="N27" s="10">
        <f ca="1"/>
        <v>67660</v>
      </c>
    </row>
    <row r="28" spans="1:14" ht="13.8">
      <c r="A28" s="5" t="s">
        <v>48</v>
      </c>
      <c r="J28" s="10">
        <f ca="1"/>
        <v>53521</v>
      </c>
      <c r="K28" s="10">
        <f ca="1"/>
        <v>67431</v>
      </c>
      <c r="L28" s="10">
        <f ca="1"/>
        <v>67093</v>
      </c>
      <c r="M28" s="10">
        <f ca="1"/>
        <v>58104</v>
      </c>
      <c r="N28" s="10">
        <f ca="1"/>
        <v>40145</v>
      </c>
    </row>
    <row r="29" spans="1:14">
      <c r="J29" s="10">
        <f ca="1"/>
        <v>74703</v>
      </c>
      <c r="K29" s="10">
        <f ca="1"/>
        <v>59133</v>
      </c>
      <c r="L29" s="10">
        <f ca="1"/>
        <v>69223</v>
      </c>
      <c r="M29" s="10">
        <f ca="1"/>
        <v>64223</v>
      </c>
      <c r="N29" s="10">
        <f ca="1"/>
        <v>65626</v>
      </c>
    </row>
    <row r="30" spans="1:14">
      <c r="B30" s="9" t="str" cm="1">
        <f t="array" ref="B30:E32">_xlfn._xlws.FILTER(B2:E11,E2:E11="Delhi")</f>
        <v>Rahul Sharma</v>
      </c>
      <c r="C30" t="str">
        <v>Sales</v>
      </c>
      <c r="D30" s="10">
        <v>55000</v>
      </c>
      <c r="E30" s="12" t="str">
        <v>Delhi</v>
      </c>
    </row>
    <row r="31" spans="1:14">
      <c r="B31" s="9" t="str">
        <v>Sunil Kumar</v>
      </c>
      <c r="C31" t="str">
        <v>Finance</v>
      </c>
      <c r="D31" s="10">
        <v>58000</v>
      </c>
      <c r="E31" s="12" t="str">
        <v>Delhi</v>
      </c>
    </row>
    <row r="32" spans="1:14">
      <c r="B32" s="9" t="str">
        <v>Aman Verma</v>
      </c>
      <c r="C32" t="str">
        <v>Finance</v>
      </c>
      <c r="D32" s="10">
        <v>54000</v>
      </c>
      <c r="E32" s="12" t="str">
        <v>Delhi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Task_1&amp;2</vt:lpstr>
      <vt:lpstr>Task_3,4&amp;5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 V</cp:lastModifiedBy>
  <dcterms:modified xsi:type="dcterms:W3CDTF">2026-07-03T10:13:33Z</dcterms:modified>
</cp:coreProperties>
</file>