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.DHANUSH\Downloads\Chapter 4 task - excel course\Excel Course - Chapter - 4 Task (Dataset)\"/>
    </mc:Choice>
  </mc:AlternateContent>
  <xr:revisionPtr revIDLastSave="0" documentId="13_ncr:1_{1F26C5B4-AD06-4F99-ACD0-40D387F5CAB1}" xr6:coauthVersionLast="47" xr6:coauthVersionMax="47" xr10:uidLastSave="{00000000-0000-0000-0000-000000000000}"/>
  <bookViews>
    <workbookView xWindow="-108" yWindow="-108" windowWidth="23256" windowHeight="12456" tabRatio="500" activeTab="4" xr2:uid="{00000000-000D-0000-FFFF-FFFF00000000}"/>
  </bookViews>
  <sheets>
    <sheet name="Example 1" sheetId="1" r:id="rId1"/>
    <sheet name="Example 1 (Solution)" sheetId="2" state="hidden" r:id="rId2"/>
    <sheet name="Example 2" sheetId="3" r:id="rId3"/>
    <sheet name="Example 2 (Solution)" sheetId="4" state="hidden" r:id="rId4"/>
    <sheet name="Example 3" sheetId="5" r:id="rId5"/>
    <sheet name="Example 3 (Solution)" sheetId="6" state="hidden" r:id="rId6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5" i="5" l="1"/>
  <c r="G6" i="5"/>
  <c r="G7" i="5"/>
  <c r="G8" i="5"/>
  <c r="G9" i="5"/>
  <c r="G10" i="5"/>
  <c r="G11" i="5"/>
  <c r="G12" i="5"/>
  <c r="G13" i="5"/>
  <c r="G14" i="5"/>
  <c r="G15" i="5"/>
  <c r="G16" i="5"/>
  <c r="G4" i="5"/>
  <c r="I5" i="3"/>
  <c r="I6" i="3"/>
  <c r="I7" i="3"/>
  <c r="I8" i="3"/>
  <c r="I9" i="3"/>
  <c r="I10" i="3"/>
  <c r="I11" i="3"/>
  <c r="I12" i="3"/>
  <c r="I13" i="3"/>
  <c r="I14" i="3"/>
  <c r="I15" i="3"/>
  <c r="I16" i="3"/>
  <c r="I4" i="3"/>
  <c r="H5" i="3"/>
  <c r="H6" i="3"/>
  <c r="H7" i="3"/>
  <c r="H8" i="3"/>
  <c r="H9" i="3"/>
  <c r="H10" i="3"/>
  <c r="H11" i="3"/>
  <c r="H12" i="3"/>
  <c r="H13" i="3"/>
  <c r="H14" i="3"/>
  <c r="H15" i="3"/>
  <c r="H16" i="3"/>
  <c r="H4" i="3"/>
  <c r="I5" i="1"/>
  <c r="I6" i="1"/>
  <c r="I7" i="1"/>
  <c r="I8" i="1"/>
  <c r="I9" i="1"/>
  <c r="I10" i="1"/>
  <c r="I11" i="1"/>
  <c r="I12" i="1"/>
  <c r="I13" i="1"/>
  <c r="I14" i="1"/>
  <c r="I15" i="1"/>
  <c r="I16" i="1"/>
  <c r="I4" i="1"/>
  <c r="H5" i="1"/>
  <c r="H6" i="1"/>
  <c r="H7" i="1"/>
  <c r="H8" i="1"/>
  <c r="H9" i="1"/>
  <c r="H10" i="1"/>
  <c r="H11" i="1"/>
  <c r="H12" i="1"/>
  <c r="H13" i="1"/>
  <c r="H14" i="1"/>
  <c r="H15" i="1"/>
  <c r="H16" i="1"/>
  <c r="H4" i="1"/>
  <c r="G16" i="6"/>
  <c r="G15" i="6"/>
  <c r="G14" i="6"/>
  <c r="G13" i="6"/>
  <c r="G12" i="6"/>
  <c r="G11" i="6"/>
  <c r="G10" i="6"/>
  <c r="G9" i="6"/>
  <c r="G8" i="6"/>
  <c r="G7" i="6"/>
  <c r="G6" i="6"/>
  <c r="G5" i="6"/>
  <c r="G4" i="6"/>
  <c r="I16" i="4"/>
  <c r="H16" i="4"/>
  <c r="I15" i="4"/>
  <c r="H15" i="4"/>
  <c r="I14" i="4"/>
  <c r="H14" i="4"/>
  <c r="I13" i="4"/>
  <c r="H13" i="4"/>
  <c r="I12" i="4"/>
  <c r="H12" i="4"/>
  <c r="I11" i="4"/>
  <c r="H11" i="4"/>
  <c r="I10" i="4"/>
  <c r="H10" i="4"/>
  <c r="I9" i="4"/>
  <c r="H9" i="4"/>
  <c r="I8" i="4"/>
  <c r="H8" i="4"/>
  <c r="I7" i="4"/>
  <c r="H7" i="4"/>
  <c r="I6" i="4"/>
  <c r="H6" i="4"/>
  <c r="I5" i="4"/>
  <c r="H5" i="4"/>
  <c r="I4" i="4"/>
  <c r="H4" i="4"/>
  <c r="I16" i="2"/>
  <c r="H16" i="2"/>
  <c r="I15" i="2"/>
  <c r="H15" i="2"/>
  <c r="I14" i="2"/>
  <c r="H14" i="2"/>
  <c r="I13" i="2"/>
  <c r="H13" i="2"/>
  <c r="I12" i="2"/>
  <c r="H12" i="2"/>
  <c r="I11" i="2"/>
  <c r="H11" i="2"/>
  <c r="I10" i="2"/>
  <c r="H10" i="2"/>
  <c r="I9" i="2"/>
  <c r="H9" i="2"/>
  <c r="I8" i="2"/>
  <c r="H8" i="2"/>
  <c r="I7" i="2"/>
  <c r="H7" i="2"/>
  <c r="I6" i="2"/>
  <c r="H6" i="2"/>
  <c r="I5" i="2"/>
  <c r="H5" i="2"/>
  <c r="I4" i="2"/>
  <c r="H4" i="2"/>
</calcChain>
</file>

<file path=xl/sharedStrings.xml><?xml version="1.0" encoding="utf-8"?>
<sst xmlns="http://schemas.openxmlformats.org/spreadsheetml/2006/main" count="230" uniqueCount="53">
  <si>
    <t>Raw Data Extract</t>
  </si>
  <si>
    <t>Pay Report</t>
  </si>
  <si>
    <t>Employee ID</t>
  </si>
  <si>
    <t>Last Name</t>
  </si>
  <si>
    <t>First Name</t>
  </si>
  <si>
    <t>Pay</t>
  </si>
  <si>
    <t>Doe</t>
  </si>
  <si>
    <t>John</t>
  </si>
  <si>
    <t>Cline</t>
  </si>
  <si>
    <t>Andy</t>
  </si>
  <si>
    <t>Smith</t>
  </si>
  <si>
    <t>Pan</t>
  </si>
  <si>
    <t>Peter</t>
  </si>
  <si>
    <t>Favre</t>
  </si>
  <si>
    <t>Bret</t>
  </si>
  <si>
    <t>Elway</t>
  </si>
  <si>
    <t>Manning</t>
  </si>
  <si>
    <t>Eli</t>
  </si>
  <si>
    <t>Vick</t>
  </si>
  <si>
    <t>Micheal</t>
  </si>
  <si>
    <t>Woods</t>
  </si>
  <si>
    <t>Tiger</t>
  </si>
  <si>
    <t>Jordan</t>
  </si>
  <si>
    <t>Stark</t>
  </si>
  <si>
    <t>Tony</t>
  </si>
  <si>
    <t>Williams</t>
  </si>
  <si>
    <t>Prince</t>
  </si>
  <si>
    <t>Pitt</t>
  </si>
  <si>
    <t>Brad</t>
  </si>
  <si>
    <t>Find the First Name and last Name using Excel Functions</t>
  </si>
  <si>
    <t>Raw Data Extract #1</t>
  </si>
  <si>
    <t>City</t>
  </si>
  <si>
    <t>Find the Last Name and City using Excel Functions</t>
  </si>
  <si>
    <t>Raw Data Extract #2</t>
  </si>
  <si>
    <t>State</t>
  </si>
  <si>
    <t>Columbus</t>
  </si>
  <si>
    <t>Ohio</t>
  </si>
  <si>
    <t>Chicago</t>
  </si>
  <si>
    <t>Illnois</t>
  </si>
  <si>
    <t>Tampa Bay</t>
  </si>
  <si>
    <t>Florida</t>
  </si>
  <si>
    <t>Austin</t>
  </si>
  <si>
    <t>Texas</t>
  </si>
  <si>
    <t>Pay Band Table</t>
  </si>
  <si>
    <t>Pay Min</t>
  </si>
  <si>
    <t>Pay Band</t>
  </si>
  <si>
    <t>Level A</t>
  </si>
  <si>
    <t>Level B</t>
  </si>
  <si>
    <t>Level C</t>
  </si>
  <si>
    <t>Level D</t>
  </si>
  <si>
    <t xml:space="preserve">Find the Pay Band using Excel Functions </t>
  </si>
  <si>
    <t>Level E</t>
  </si>
  <si>
    <t>USED XLOOKUP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</si>
</sst>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_);&quot;($&quot;#,##0\);\$0_)"/>
  </numFmts>
  <fonts count="5" x14ac:knownFonts="1">
    <font>
      <sz val="11"/>
      <color rgb="FF000000"/>
      <name val="Calibri"/>
      <family val="2"/>
      <charset val="1"/>
    </font>
    <font>
      <b/>
      <sz val="16"/>
      <color rgb="FF414042"/>
      <name val="Calibri"/>
      <family val="2"/>
      <charset val="1"/>
    </font>
    <font>
      <b/>
      <sz val="16"/>
      <color rgb="FFF1BD62"/>
      <name val="Calibri"/>
      <family val="2"/>
      <charset val="1"/>
    </font>
    <font>
      <b/>
      <sz val="11"/>
      <color rgb="FFFFFFFF"/>
      <name val="Calibri"/>
      <family val="2"/>
      <charset val="1"/>
    </font>
    <font>
      <b/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414042"/>
        <bgColor rgb="FF333300"/>
      </patternFill>
    </fill>
    <fill>
      <patternFill patternType="solid">
        <fgColor rgb="FFF1BD62"/>
        <bgColor rgb="FFFFCC00"/>
      </patternFill>
    </fill>
    <fill>
      <patternFill patternType="solid">
        <fgColor rgb="FFF2F2F2"/>
        <bgColor rgb="FFFFFFFF"/>
      </patternFill>
    </fill>
    <fill>
      <patternFill patternType="solid">
        <fgColor theme="9" tint="0.59999389629810485"/>
        <bgColor rgb="FFFFFFFF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414042"/>
      </bottom>
      <diagonal/>
    </border>
    <border>
      <left/>
      <right/>
      <top/>
      <bottom style="medium">
        <color rgb="FFF1BD62"/>
      </bottom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164" fontId="0" fillId="0" borderId="0" xfId="0" applyNumberFormat="1"/>
    <xf numFmtId="0" fontId="0" fillId="4" borderId="0" xfId="0" applyFill="1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5" borderId="0" xfId="0" applyFill="1"/>
    <xf numFmtId="0" fontId="4" fillId="6" borderId="0" xfId="0" applyFont="1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1BD62"/>
      <rgbColor rgb="FF3366FF"/>
      <rgbColor rgb="FF33CCCC"/>
      <rgbColor rgb="FF99CC00"/>
      <rgbColor rgb="FFFFCC00"/>
      <rgbColor rgb="FFFF99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41404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219240</xdr:colOff>
      <xdr:row>17</xdr:row>
      <xdr:rowOff>133200</xdr:rowOff>
    </xdr:from>
    <xdr:to>
      <xdr:col>10</xdr:col>
      <xdr:colOff>47520</xdr:colOff>
      <xdr:row>21</xdr:row>
      <xdr:rowOff>9000</xdr:rowOff>
    </xdr:to>
    <xdr:sp macro="" textlink="">
      <xdr:nvSpPr>
        <xdr:cNvPr id="2" name="Speech Bubble: Rectangle with Corners Rounded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6764760" y="3295440"/>
          <a:ext cx="3076200" cy="685440"/>
        </a:xfrm>
        <a:prstGeom prst="wedgeRoundRectCallout">
          <a:avLst>
            <a:gd name="adj1" fmla="val -20833"/>
            <a:gd name="adj2" fmla="val -62500"/>
            <a:gd name="adj3" fmla="val 16667"/>
          </a:avLst>
        </a:prstGeom>
        <a:solidFill>
          <a:schemeClr val="accent4">
            <a:lumMod val="20000"/>
            <a:lumOff val="80000"/>
          </a:schemeClr>
        </a:solidFill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t">
          <a:noAutofit/>
        </a:bodyPr>
        <a:lstStyle/>
        <a:p>
          <a:pPr>
            <a:lnSpc>
              <a:spcPct val="100000"/>
            </a:lnSpc>
          </a:pPr>
          <a:r>
            <a:rPr lang="en-US" sz="1000" b="0" strike="noStrike" spc="-1">
              <a:solidFill>
                <a:srgbClr val="7F7F7F"/>
              </a:solidFill>
              <a:latin typeface="Calibri"/>
            </a:rPr>
            <a:t>Use VLOOKUP formulas to bring in the last name and city of employees in the </a:t>
          </a:r>
          <a:r>
            <a:rPr lang="en-US" sz="1000" b="1" strike="noStrike" spc="-1">
              <a:solidFill>
                <a:srgbClr val="7F7F7F"/>
              </a:solidFill>
              <a:latin typeface="Calibri"/>
            </a:rPr>
            <a:t>Raw Data Extract</a:t>
          </a:r>
          <a:r>
            <a:rPr lang="en-US" sz="1000" b="0" strike="noStrike" spc="-1">
              <a:solidFill>
                <a:srgbClr val="7F7F7F"/>
              </a:solidFill>
              <a:latin typeface="Calibri"/>
            </a:rPr>
            <a:t> sections</a:t>
          </a:r>
          <a:endParaRPr lang="en-IN" sz="1000" b="0" strike="noStrike" spc="-1">
            <a:latin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504720</xdr:colOff>
      <xdr:row>17</xdr:row>
      <xdr:rowOff>85680</xdr:rowOff>
    </xdr:from>
    <xdr:to>
      <xdr:col>9</xdr:col>
      <xdr:colOff>199440</xdr:colOff>
      <xdr:row>20</xdr:row>
      <xdr:rowOff>151920</xdr:rowOff>
    </xdr:to>
    <xdr:sp macro="" textlink="">
      <xdr:nvSpPr>
        <xdr:cNvPr id="2" name="Speech Bubble: Rectangle with Corners Rounded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5538960" y="3247920"/>
          <a:ext cx="3385440" cy="609120"/>
        </a:xfrm>
        <a:prstGeom prst="wedgeRoundRectCallout">
          <a:avLst>
            <a:gd name="adj1" fmla="val -20833"/>
            <a:gd name="adj2" fmla="val -62500"/>
            <a:gd name="adj3" fmla="val 16667"/>
          </a:avLst>
        </a:prstGeom>
        <a:solidFill>
          <a:schemeClr val="accent4">
            <a:lumMod val="20000"/>
            <a:lumOff val="80000"/>
          </a:schemeClr>
        </a:solidFill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t">
          <a:noAutofit/>
        </a:bodyPr>
        <a:lstStyle/>
        <a:p>
          <a:pPr>
            <a:lnSpc>
              <a:spcPct val="100000"/>
            </a:lnSpc>
          </a:pPr>
          <a:r>
            <a:rPr lang="en-US" sz="1000" b="0" strike="noStrike" spc="-1">
              <a:solidFill>
                <a:srgbClr val="7F7F7F"/>
              </a:solidFill>
              <a:latin typeface="Calibri"/>
            </a:rPr>
            <a:t>Use VLOOKUP's approximate match to bring in the pay band label for the Pay range</a:t>
          </a:r>
          <a:endParaRPr lang="en-IN" sz="1000" b="0" strike="noStrike" spc="-1">
            <a:latin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AD47"/>
  </sheetPr>
  <dimension ref="A1:I20"/>
  <sheetViews>
    <sheetView showGridLines="0" zoomScaleNormal="100" workbookViewId="0">
      <selection activeCell="H22" sqref="H22"/>
    </sheetView>
  </sheetViews>
  <sheetFormatPr defaultColWidth="8.5546875" defaultRowHeight="14.4" x14ac:dyDescent="0.3"/>
  <cols>
    <col min="1" max="1" width="12.109375" customWidth="1"/>
    <col min="2" max="2" width="10.109375" customWidth="1"/>
    <col min="3" max="3" width="10.5546875" customWidth="1"/>
    <col min="5" max="5" width="36.5546875" bestFit="1" customWidth="1"/>
    <col min="6" max="6" width="13" customWidth="1"/>
    <col min="7" max="7" width="10.44140625" customWidth="1"/>
    <col min="8" max="9" width="14" customWidth="1"/>
  </cols>
  <sheetData>
    <row r="1" spans="1:9" ht="21" x14ac:dyDescent="0.4">
      <c r="A1" s="10" t="s">
        <v>0</v>
      </c>
      <c r="B1" s="10"/>
      <c r="C1" s="10"/>
      <c r="F1" s="11" t="s">
        <v>1</v>
      </c>
      <c r="G1" s="11"/>
      <c r="H1" s="11"/>
      <c r="I1" s="11"/>
    </row>
    <row r="3" spans="1:9" x14ac:dyDescent="0.3">
      <c r="A3" s="1" t="s">
        <v>2</v>
      </c>
      <c r="B3" s="2" t="s">
        <v>3</v>
      </c>
      <c r="C3" s="3" t="s">
        <v>4</v>
      </c>
      <c r="F3" s="4" t="s">
        <v>2</v>
      </c>
      <c r="G3" s="5" t="s">
        <v>5</v>
      </c>
      <c r="H3" s="5" t="s">
        <v>4</v>
      </c>
      <c r="I3" s="6" t="s">
        <v>3</v>
      </c>
    </row>
    <row r="4" spans="1:9" x14ac:dyDescent="0.3">
      <c r="A4">
        <v>110608</v>
      </c>
      <c r="B4" t="s">
        <v>6</v>
      </c>
      <c r="C4" t="s">
        <v>7</v>
      </c>
      <c r="F4">
        <v>990678</v>
      </c>
      <c r="G4" s="7">
        <v>84289</v>
      </c>
      <c r="H4" s="12" t="str">
        <f>_xlfn.XLOOKUP(C4,C4:C16,C4:C16)</f>
        <v>John</v>
      </c>
      <c r="I4" s="12" t="str">
        <f>_xlfn.XLOOKUP(B4,B4:B16,B4:B16)</f>
        <v>Doe</v>
      </c>
    </row>
    <row r="5" spans="1:9" x14ac:dyDescent="0.3">
      <c r="A5">
        <v>253072</v>
      </c>
      <c r="B5" t="s">
        <v>8</v>
      </c>
      <c r="C5" t="s">
        <v>9</v>
      </c>
      <c r="F5">
        <v>830385</v>
      </c>
      <c r="G5" s="7">
        <v>137670</v>
      </c>
      <c r="H5" s="12" t="str">
        <f t="shared" ref="H5:H16" si="0">_xlfn.XLOOKUP(C5,C5:C17,C5:C17)</f>
        <v>Andy</v>
      </c>
      <c r="I5" s="12" t="str">
        <f t="shared" ref="I5:I16" si="1">_xlfn.XLOOKUP(B5,B5:B17,B5:B17)</f>
        <v>Cline</v>
      </c>
    </row>
    <row r="6" spans="1:9" x14ac:dyDescent="0.3">
      <c r="A6">
        <v>352711</v>
      </c>
      <c r="B6" t="s">
        <v>10</v>
      </c>
      <c r="C6" t="s">
        <v>7</v>
      </c>
      <c r="F6">
        <v>795574</v>
      </c>
      <c r="G6" s="7">
        <v>190024</v>
      </c>
      <c r="H6" s="12" t="str">
        <f t="shared" si="0"/>
        <v>John</v>
      </c>
      <c r="I6" s="12" t="str">
        <f t="shared" si="1"/>
        <v>Smith</v>
      </c>
    </row>
    <row r="7" spans="1:9" x14ac:dyDescent="0.3">
      <c r="A7">
        <v>391006</v>
      </c>
      <c r="B7" t="s">
        <v>11</v>
      </c>
      <c r="C7" t="s">
        <v>12</v>
      </c>
      <c r="F7">
        <v>580622</v>
      </c>
      <c r="G7" s="7">
        <v>122604</v>
      </c>
      <c r="H7" s="12" t="str">
        <f t="shared" si="0"/>
        <v>Peter</v>
      </c>
      <c r="I7" s="12" t="str">
        <f t="shared" si="1"/>
        <v>Pan</v>
      </c>
    </row>
    <row r="8" spans="1:9" x14ac:dyDescent="0.3">
      <c r="A8">
        <v>392128</v>
      </c>
      <c r="B8" t="s">
        <v>13</v>
      </c>
      <c r="C8" t="s">
        <v>14</v>
      </c>
      <c r="E8" s="13" t="s">
        <v>52</v>
      </c>
      <c r="F8">
        <v>549457</v>
      </c>
      <c r="G8" s="7">
        <v>111709</v>
      </c>
      <c r="H8" s="12" t="str">
        <f t="shared" si="0"/>
        <v>Bret</v>
      </c>
      <c r="I8" s="12" t="str">
        <f t="shared" si="1"/>
        <v>Favre</v>
      </c>
    </row>
    <row r="9" spans="1:9" x14ac:dyDescent="0.3">
      <c r="A9">
        <v>549457</v>
      </c>
      <c r="B9" t="s">
        <v>15</v>
      </c>
      <c r="C9" t="s">
        <v>7</v>
      </c>
      <c r="F9">
        <v>392128</v>
      </c>
      <c r="G9" s="7">
        <v>85931</v>
      </c>
      <c r="H9" s="12" t="str">
        <f t="shared" si="0"/>
        <v>John</v>
      </c>
      <c r="I9" s="12" t="str">
        <f t="shared" si="1"/>
        <v>Elway</v>
      </c>
    </row>
    <row r="10" spans="1:9" x14ac:dyDescent="0.3">
      <c r="A10">
        <v>580622</v>
      </c>
      <c r="B10" t="s">
        <v>16</v>
      </c>
      <c r="C10" t="s">
        <v>17</v>
      </c>
      <c r="F10">
        <v>391006</v>
      </c>
      <c r="G10" s="7">
        <v>168114</v>
      </c>
      <c r="H10" s="12" t="str">
        <f t="shared" si="0"/>
        <v>Eli</v>
      </c>
      <c r="I10" s="12" t="str">
        <f t="shared" si="1"/>
        <v>Manning</v>
      </c>
    </row>
    <row r="11" spans="1:9" x14ac:dyDescent="0.3">
      <c r="A11">
        <v>602693</v>
      </c>
      <c r="B11" t="s">
        <v>18</v>
      </c>
      <c r="C11" t="s">
        <v>19</v>
      </c>
      <c r="F11">
        <v>352711</v>
      </c>
      <c r="G11" s="7">
        <v>89627</v>
      </c>
      <c r="H11" s="12" t="str">
        <f t="shared" si="0"/>
        <v>Micheal</v>
      </c>
      <c r="I11" s="12" t="str">
        <f t="shared" si="1"/>
        <v>Vick</v>
      </c>
    </row>
    <row r="12" spans="1:9" x14ac:dyDescent="0.3">
      <c r="A12">
        <v>611810</v>
      </c>
      <c r="B12" t="s">
        <v>20</v>
      </c>
      <c r="C12" t="s">
        <v>21</v>
      </c>
      <c r="F12">
        <v>253072</v>
      </c>
      <c r="G12" s="7">
        <v>149946</v>
      </c>
      <c r="H12" s="12" t="str">
        <f t="shared" si="0"/>
        <v>Tiger</v>
      </c>
      <c r="I12" s="12" t="str">
        <f t="shared" si="1"/>
        <v>Woods</v>
      </c>
    </row>
    <row r="13" spans="1:9" x14ac:dyDescent="0.3">
      <c r="A13">
        <v>612235</v>
      </c>
      <c r="B13" t="s">
        <v>22</v>
      </c>
      <c r="C13" t="s">
        <v>19</v>
      </c>
      <c r="F13">
        <v>612235</v>
      </c>
      <c r="G13" s="7">
        <v>145893</v>
      </c>
      <c r="H13" s="12" t="str">
        <f t="shared" si="0"/>
        <v>Micheal</v>
      </c>
      <c r="I13" s="12" t="str">
        <f t="shared" si="1"/>
        <v>Jordan</v>
      </c>
    </row>
    <row r="14" spans="1:9" x14ac:dyDescent="0.3">
      <c r="A14">
        <v>795574</v>
      </c>
      <c r="B14" t="s">
        <v>23</v>
      </c>
      <c r="C14" t="s">
        <v>24</v>
      </c>
      <c r="F14">
        <v>611810</v>
      </c>
      <c r="G14" s="7">
        <v>64757</v>
      </c>
      <c r="H14" s="12" t="str">
        <f t="shared" si="0"/>
        <v>Tony</v>
      </c>
      <c r="I14" s="12" t="str">
        <f t="shared" si="1"/>
        <v>Stark</v>
      </c>
    </row>
    <row r="15" spans="1:9" x14ac:dyDescent="0.3">
      <c r="A15">
        <v>830385</v>
      </c>
      <c r="B15" t="s">
        <v>25</v>
      </c>
      <c r="C15" t="s">
        <v>26</v>
      </c>
      <c r="F15">
        <v>602693</v>
      </c>
      <c r="G15" s="7">
        <v>71478</v>
      </c>
      <c r="H15" s="12" t="str">
        <f t="shared" si="0"/>
        <v>Prince</v>
      </c>
      <c r="I15" s="12" t="str">
        <f t="shared" si="1"/>
        <v>Williams</v>
      </c>
    </row>
    <row r="16" spans="1:9" x14ac:dyDescent="0.3">
      <c r="A16">
        <v>990678</v>
      </c>
      <c r="B16" t="s">
        <v>27</v>
      </c>
      <c r="C16" t="s">
        <v>28</v>
      </c>
      <c r="F16">
        <v>110608</v>
      </c>
      <c r="G16" s="7">
        <v>131505</v>
      </c>
      <c r="H16" s="12" t="str">
        <f t="shared" si="0"/>
        <v>Brad</v>
      </c>
      <c r="I16" s="12" t="str">
        <f t="shared" si="1"/>
        <v>Pitt</v>
      </c>
    </row>
    <row r="20" spans="5:5" ht="28.8" x14ac:dyDescent="0.3">
      <c r="E20" s="9" t="s">
        <v>29</v>
      </c>
    </row>
  </sheetData>
  <mergeCells count="2">
    <mergeCell ref="A1:C1"/>
    <mergeCell ref="F1:I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6"/>
  <sheetViews>
    <sheetView showGridLines="0" zoomScaleNormal="100" workbookViewId="0">
      <selection activeCell="B28" sqref="B28"/>
    </sheetView>
  </sheetViews>
  <sheetFormatPr defaultColWidth="8.5546875" defaultRowHeight="14.4" x14ac:dyDescent="0.3"/>
  <cols>
    <col min="1" max="1" width="12.109375" customWidth="1"/>
    <col min="2" max="2" width="10.109375" customWidth="1"/>
    <col min="3" max="3" width="10.5546875" customWidth="1"/>
    <col min="6" max="6" width="13" customWidth="1"/>
    <col min="7" max="7" width="10.44140625" customWidth="1"/>
    <col min="8" max="9" width="14" customWidth="1"/>
  </cols>
  <sheetData>
    <row r="1" spans="1:9" ht="21" x14ac:dyDescent="0.4">
      <c r="A1" s="10" t="s">
        <v>0</v>
      </c>
      <c r="B1" s="10"/>
      <c r="C1" s="10"/>
      <c r="F1" s="11" t="s">
        <v>1</v>
      </c>
      <c r="G1" s="11"/>
      <c r="H1" s="11"/>
      <c r="I1" s="11"/>
    </row>
    <row r="3" spans="1:9" x14ac:dyDescent="0.3">
      <c r="A3" s="1" t="s">
        <v>2</v>
      </c>
      <c r="B3" s="2" t="s">
        <v>3</v>
      </c>
      <c r="C3" s="3" t="s">
        <v>4</v>
      </c>
      <c r="F3" s="4" t="s">
        <v>2</v>
      </c>
      <c r="G3" s="5" t="s">
        <v>5</v>
      </c>
      <c r="H3" s="5" t="s">
        <v>4</v>
      </c>
      <c r="I3" s="6" t="s">
        <v>3</v>
      </c>
    </row>
    <row r="4" spans="1:9" x14ac:dyDescent="0.3">
      <c r="A4">
        <v>110608</v>
      </c>
      <c r="B4" t="s">
        <v>6</v>
      </c>
      <c r="C4" t="s">
        <v>7</v>
      </c>
      <c r="F4">
        <v>990678</v>
      </c>
      <c r="G4" s="7">
        <v>84289</v>
      </c>
      <c r="H4" s="8" t="str">
        <f t="shared" ref="H4:H16" si="0">VLOOKUP($F4,$A$3:$C$16,3,FALSE())</f>
        <v>Brad</v>
      </c>
      <c r="I4" s="8" t="str">
        <f t="shared" ref="I4:I16" si="1">VLOOKUP($F4,$A$3:$C$16,2,FALSE())</f>
        <v>Pitt</v>
      </c>
    </row>
    <row r="5" spans="1:9" x14ac:dyDescent="0.3">
      <c r="A5">
        <v>253072</v>
      </c>
      <c r="B5" t="s">
        <v>8</v>
      </c>
      <c r="C5" t="s">
        <v>9</v>
      </c>
      <c r="F5">
        <v>830385</v>
      </c>
      <c r="G5" s="7">
        <v>137670</v>
      </c>
      <c r="H5" s="8" t="str">
        <f t="shared" si="0"/>
        <v>Prince</v>
      </c>
      <c r="I5" s="8" t="str">
        <f t="shared" si="1"/>
        <v>Williams</v>
      </c>
    </row>
    <row r="6" spans="1:9" x14ac:dyDescent="0.3">
      <c r="A6">
        <v>352711</v>
      </c>
      <c r="B6" t="s">
        <v>10</v>
      </c>
      <c r="C6" t="s">
        <v>7</v>
      </c>
      <c r="F6">
        <v>795574</v>
      </c>
      <c r="G6" s="7">
        <v>190024</v>
      </c>
      <c r="H6" s="8" t="str">
        <f t="shared" si="0"/>
        <v>Tony</v>
      </c>
      <c r="I6" s="8" t="str">
        <f t="shared" si="1"/>
        <v>Stark</v>
      </c>
    </row>
    <row r="7" spans="1:9" x14ac:dyDescent="0.3">
      <c r="A7">
        <v>391006</v>
      </c>
      <c r="B7" t="s">
        <v>11</v>
      </c>
      <c r="C7" t="s">
        <v>12</v>
      </c>
      <c r="F7">
        <v>580622</v>
      </c>
      <c r="G7" s="7">
        <v>122604</v>
      </c>
      <c r="H7" s="8" t="str">
        <f t="shared" si="0"/>
        <v>Eli</v>
      </c>
      <c r="I7" s="8" t="str">
        <f t="shared" si="1"/>
        <v>Manning</v>
      </c>
    </row>
    <row r="8" spans="1:9" x14ac:dyDescent="0.3">
      <c r="A8">
        <v>392128</v>
      </c>
      <c r="B8" t="s">
        <v>13</v>
      </c>
      <c r="C8" t="s">
        <v>14</v>
      </c>
      <c r="F8">
        <v>549457</v>
      </c>
      <c r="G8" s="7">
        <v>111709</v>
      </c>
      <c r="H8" s="8" t="str">
        <f t="shared" si="0"/>
        <v>John</v>
      </c>
      <c r="I8" s="8" t="str">
        <f t="shared" si="1"/>
        <v>Elway</v>
      </c>
    </row>
    <row r="9" spans="1:9" x14ac:dyDescent="0.3">
      <c r="A9">
        <v>549457</v>
      </c>
      <c r="B9" t="s">
        <v>15</v>
      </c>
      <c r="C9" t="s">
        <v>7</v>
      </c>
      <c r="F9">
        <v>392128</v>
      </c>
      <c r="G9" s="7">
        <v>85931</v>
      </c>
      <c r="H9" s="8" t="str">
        <f t="shared" si="0"/>
        <v>Bret</v>
      </c>
      <c r="I9" s="8" t="str">
        <f t="shared" si="1"/>
        <v>Favre</v>
      </c>
    </row>
    <row r="10" spans="1:9" x14ac:dyDescent="0.3">
      <c r="A10">
        <v>580622</v>
      </c>
      <c r="B10" t="s">
        <v>16</v>
      </c>
      <c r="C10" t="s">
        <v>17</v>
      </c>
      <c r="F10">
        <v>391006</v>
      </c>
      <c r="G10" s="7">
        <v>168114</v>
      </c>
      <c r="H10" s="8" t="str">
        <f t="shared" si="0"/>
        <v>Peter</v>
      </c>
      <c r="I10" s="8" t="str">
        <f t="shared" si="1"/>
        <v>Pan</v>
      </c>
    </row>
    <row r="11" spans="1:9" x14ac:dyDescent="0.3">
      <c r="A11">
        <v>602693</v>
      </c>
      <c r="B11" t="s">
        <v>18</v>
      </c>
      <c r="C11" t="s">
        <v>19</v>
      </c>
      <c r="F11">
        <v>352711</v>
      </c>
      <c r="G11" s="7">
        <v>89627</v>
      </c>
      <c r="H11" s="8" t="str">
        <f t="shared" si="0"/>
        <v>John</v>
      </c>
      <c r="I11" s="8" t="str">
        <f t="shared" si="1"/>
        <v>Smith</v>
      </c>
    </row>
    <row r="12" spans="1:9" x14ac:dyDescent="0.3">
      <c r="A12">
        <v>611810</v>
      </c>
      <c r="B12" t="s">
        <v>20</v>
      </c>
      <c r="C12" t="s">
        <v>21</v>
      </c>
      <c r="F12">
        <v>253072</v>
      </c>
      <c r="G12" s="7">
        <v>149946</v>
      </c>
      <c r="H12" s="8" t="str">
        <f t="shared" si="0"/>
        <v>Andy</v>
      </c>
      <c r="I12" s="8" t="str">
        <f t="shared" si="1"/>
        <v>Cline</v>
      </c>
    </row>
    <row r="13" spans="1:9" x14ac:dyDescent="0.3">
      <c r="A13">
        <v>612235</v>
      </c>
      <c r="B13" t="s">
        <v>22</v>
      </c>
      <c r="C13" t="s">
        <v>19</v>
      </c>
      <c r="F13">
        <v>612235</v>
      </c>
      <c r="G13" s="7">
        <v>145893</v>
      </c>
      <c r="H13" s="8" t="str">
        <f t="shared" si="0"/>
        <v>Micheal</v>
      </c>
      <c r="I13" s="8" t="str">
        <f t="shared" si="1"/>
        <v>Jordan</v>
      </c>
    </row>
    <row r="14" spans="1:9" x14ac:dyDescent="0.3">
      <c r="A14">
        <v>795574</v>
      </c>
      <c r="B14" t="s">
        <v>23</v>
      </c>
      <c r="C14" t="s">
        <v>24</v>
      </c>
      <c r="F14">
        <v>611810</v>
      </c>
      <c r="G14" s="7">
        <v>64757</v>
      </c>
      <c r="H14" s="8" t="str">
        <f t="shared" si="0"/>
        <v>Tiger</v>
      </c>
      <c r="I14" s="8" t="str">
        <f t="shared" si="1"/>
        <v>Woods</v>
      </c>
    </row>
    <row r="15" spans="1:9" x14ac:dyDescent="0.3">
      <c r="A15">
        <v>830385</v>
      </c>
      <c r="B15" t="s">
        <v>25</v>
      </c>
      <c r="C15" t="s">
        <v>26</v>
      </c>
      <c r="F15">
        <v>602693</v>
      </c>
      <c r="G15" s="7">
        <v>71478</v>
      </c>
      <c r="H15" s="8" t="str">
        <f t="shared" si="0"/>
        <v>Micheal</v>
      </c>
      <c r="I15" s="8" t="str">
        <f t="shared" si="1"/>
        <v>Vick</v>
      </c>
    </row>
    <row r="16" spans="1:9" x14ac:dyDescent="0.3">
      <c r="A16">
        <v>990678</v>
      </c>
      <c r="B16" t="s">
        <v>27</v>
      </c>
      <c r="C16" t="s">
        <v>28</v>
      </c>
      <c r="F16">
        <v>110608</v>
      </c>
      <c r="G16" s="7">
        <v>131505</v>
      </c>
      <c r="H16" s="8" t="str">
        <f t="shared" si="0"/>
        <v>John</v>
      </c>
      <c r="I16" s="8" t="str">
        <f t="shared" si="1"/>
        <v>Doe</v>
      </c>
    </row>
  </sheetData>
  <sheetProtection sheet="1" formatCells="0" formatColumns="0" formatRows="0" insertColumns="0" insertRows="0" insertHyperlinks="0" deleteColumns="0" deleteRows="0" sort="0" autoFilter="0" pivotTables="0"/>
  <mergeCells count="2">
    <mergeCell ref="A1:C1"/>
    <mergeCell ref="F1:I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</sheetPr>
  <dimension ref="A1:P36"/>
  <sheetViews>
    <sheetView showGridLines="0" zoomScaleNormal="100" workbookViewId="0">
      <selection activeCell="O15" sqref="O15"/>
    </sheetView>
  </sheetViews>
  <sheetFormatPr defaultColWidth="8.5546875" defaultRowHeight="14.4" x14ac:dyDescent="0.3"/>
  <cols>
    <col min="1" max="1" width="12.109375" customWidth="1"/>
    <col min="2" max="2" width="10.44140625" customWidth="1"/>
    <col min="3" max="3" width="10.5546875" customWidth="1"/>
    <col min="6" max="6" width="13" customWidth="1"/>
    <col min="7" max="7" width="10.44140625" customWidth="1"/>
    <col min="8" max="9" width="14" customWidth="1"/>
  </cols>
  <sheetData>
    <row r="1" spans="1:16" ht="21" x14ac:dyDescent="0.4">
      <c r="A1" s="10" t="s">
        <v>30</v>
      </c>
      <c r="B1" s="10"/>
      <c r="C1" s="10"/>
      <c r="F1" s="11" t="s">
        <v>1</v>
      </c>
      <c r="G1" s="11"/>
      <c r="H1" s="11"/>
      <c r="I1" s="11"/>
    </row>
    <row r="3" spans="1:16" x14ac:dyDescent="0.3">
      <c r="A3" s="1" t="s">
        <v>2</v>
      </c>
      <c r="B3" s="2" t="s">
        <v>3</v>
      </c>
      <c r="C3" s="3" t="s">
        <v>4</v>
      </c>
      <c r="F3" s="4" t="s">
        <v>2</v>
      </c>
      <c r="G3" s="5" t="s">
        <v>5</v>
      </c>
      <c r="H3" s="5" t="s">
        <v>3</v>
      </c>
      <c r="I3" s="6" t="s">
        <v>31</v>
      </c>
    </row>
    <row r="4" spans="1:16" x14ac:dyDescent="0.3">
      <c r="A4">
        <v>110608</v>
      </c>
      <c r="B4" t="s">
        <v>6</v>
      </c>
      <c r="C4" t="s">
        <v>7</v>
      </c>
      <c r="F4">
        <v>990678</v>
      </c>
      <c r="G4" s="7">
        <v>84289</v>
      </c>
      <c r="H4" s="12" t="str">
        <f>_xlfn.XLOOKUP(B4,B4:B16,B4:B16)</f>
        <v>Doe</v>
      </c>
      <c r="I4" s="12" t="str">
        <f>_xlfn.XLOOKUP(B24,B24:B36,B24:B36)</f>
        <v>Columbus</v>
      </c>
    </row>
    <row r="5" spans="1:16" x14ac:dyDescent="0.3">
      <c r="A5">
        <v>253072</v>
      </c>
      <c r="B5" t="s">
        <v>8</v>
      </c>
      <c r="C5" t="s">
        <v>9</v>
      </c>
      <c r="F5">
        <v>830385</v>
      </c>
      <c r="G5" s="7">
        <v>137670</v>
      </c>
      <c r="H5" s="12" t="str">
        <f t="shared" ref="H5:H16" si="0">_xlfn.XLOOKUP(B5,B5:B17,B5:B17)</f>
        <v>Cline</v>
      </c>
      <c r="I5" s="12" t="str">
        <f t="shared" ref="I5:I16" si="1">_xlfn.XLOOKUP(B25,B25:B37,B25:B37)</f>
        <v>Chicago</v>
      </c>
    </row>
    <row r="6" spans="1:16" x14ac:dyDescent="0.3">
      <c r="A6">
        <v>352711</v>
      </c>
      <c r="B6" t="s">
        <v>10</v>
      </c>
      <c r="C6" t="s">
        <v>7</v>
      </c>
      <c r="F6">
        <v>795574</v>
      </c>
      <c r="G6" s="7">
        <v>190024</v>
      </c>
      <c r="H6" s="12" t="str">
        <f t="shared" si="0"/>
        <v>Smith</v>
      </c>
      <c r="I6" s="12" t="str">
        <f t="shared" si="1"/>
        <v>Tampa Bay</v>
      </c>
    </row>
    <row r="7" spans="1:16" x14ac:dyDescent="0.3">
      <c r="A7">
        <v>391006</v>
      </c>
      <c r="B7" t="s">
        <v>11</v>
      </c>
      <c r="C7" t="s">
        <v>12</v>
      </c>
      <c r="F7">
        <v>580622</v>
      </c>
      <c r="G7" s="7">
        <v>122604</v>
      </c>
      <c r="H7" s="12" t="str">
        <f t="shared" si="0"/>
        <v>Pan</v>
      </c>
      <c r="I7" s="12" t="str">
        <f t="shared" si="1"/>
        <v>Chicago</v>
      </c>
      <c r="M7" t="s">
        <v>32</v>
      </c>
    </row>
    <row r="8" spans="1:16" x14ac:dyDescent="0.3">
      <c r="A8">
        <v>392128</v>
      </c>
      <c r="B8" t="s">
        <v>13</v>
      </c>
      <c r="C8" t="s">
        <v>14</v>
      </c>
      <c r="F8">
        <v>549457</v>
      </c>
      <c r="G8" s="7">
        <v>111709</v>
      </c>
      <c r="H8" s="12" t="str">
        <f t="shared" si="0"/>
        <v>Favre</v>
      </c>
      <c r="I8" s="12" t="str">
        <f t="shared" si="1"/>
        <v>Chicago</v>
      </c>
    </row>
    <row r="9" spans="1:16" x14ac:dyDescent="0.3">
      <c r="A9">
        <v>549457</v>
      </c>
      <c r="B9" t="s">
        <v>15</v>
      </c>
      <c r="C9" t="s">
        <v>7</v>
      </c>
      <c r="F9">
        <v>392128</v>
      </c>
      <c r="G9" s="7">
        <v>85931</v>
      </c>
      <c r="H9" s="12" t="str">
        <f t="shared" si="0"/>
        <v>Elway</v>
      </c>
      <c r="I9" s="12" t="str">
        <f t="shared" si="1"/>
        <v>Tampa Bay</v>
      </c>
      <c r="N9" s="13" t="s">
        <v>52</v>
      </c>
      <c r="O9" s="14"/>
      <c r="P9" s="14"/>
    </row>
    <row r="10" spans="1:16" x14ac:dyDescent="0.3">
      <c r="A10">
        <v>580622</v>
      </c>
      <c r="B10" t="s">
        <v>16</v>
      </c>
      <c r="C10" t="s">
        <v>17</v>
      </c>
      <c r="F10">
        <v>391006</v>
      </c>
      <c r="G10" s="7">
        <v>168114</v>
      </c>
      <c r="H10" s="12" t="str">
        <f t="shared" si="0"/>
        <v>Manning</v>
      </c>
      <c r="I10" s="12" t="str">
        <f t="shared" si="1"/>
        <v>Columbus</v>
      </c>
    </row>
    <row r="11" spans="1:16" x14ac:dyDescent="0.3">
      <c r="A11">
        <v>602693</v>
      </c>
      <c r="B11" t="s">
        <v>18</v>
      </c>
      <c r="C11" t="s">
        <v>19</v>
      </c>
      <c r="F11">
        <v>352711</v>
      </c>
      <c r="G11" s="7">
        <v>89627</v>
      </c>
      <c r="H11" s="12" t="str">
        <f t="shared" si="0"/>
        <v>Vick</v>
      </c>
      <c r="I11" s="12" t="str">
        <f t="shared" si="1"/>
        <v>Tampa Bay</v>
      </c>
    </row>
    <row r="12" spans="1:16" x14ac:dyDescent="0.3">
      <c r="A12">
        <v>611810</v>
      </c>
      <c r="B12" t="s">
        <v>20</v>
      </c>
      <c r="C12" t="s">
        <v>21</v>
      </c>
      <c r="F12">
        <v>253072</v>
      </c>
      <c r="G12" s="7">
        <v>149946</v>
      </c>
      <c r="H12" s="12" t="str">
        <f t="shared" si="0"/>
        <v>Woods</v>
      </c>
      <c r="I12" s="12" t="str">
        <f t="shared" si="1"/>
        <v>Austin</v>
      </c>
    </row>
    <row r="13" spans="1:16" x14ac:dyDescent="0.3">
      <c r="A13">
        <v>612235</v>
      </c>
      <c r="B13" t="s">
        <v>22</v>
      </c>
      <c r="C13" t="s">
        <v>19</v>
      </c>
      <c r="F13">
        <v>612235</v>
      </c>
      <c r="G13" s="7">
        <v>145893</v>
      </c>
      <c r="H13" s="12" t="str">
        <f t="shared" si="0"/>
        <v>Jordan</v>
      </c>
      <c r="I13" s="12" t="str">
        <f t="shared" si="1"/>
        <v>Tampa Bay</v>
      </c>
    </row>
    <row r="14" spans="1:16" x14ac:dyDescent="0.3">
      <c r="A14">
        <v>795574</v>
      </c>
      <c r="B14" t="s">
        <v>23</v>
      </c>
      <c r="C14" t="s">
        <v>24</v>
      </c>
      <c r="F14">
        <v>611810</v>
      </c>
      <c r="G14" s="7">
        <v>64757</v>
      </c>
      <c r="H14" s="12" t="str">
        <f t="shared" si="0"/>
        <v>Stark</v>
      </c>
      <c r="I14" s="12" t="str">
        <f t="shared" si="1"/>
        <v>Austin</v>
      </c>
    </row>
    <row r="15" spans="1:16" x14ac:dyDescent="0.3">
      <c r="A15">
        <v>830385</v>
      </c>
      <c r="B15" t="s">
        <v>25</v>
      </c>
      <c r="C15" t="s">
        <v>26</v>
      </c>
      <c r="F15">
        <v>602693</v>
      </c>
      <c r="G15" s="7">
        <v>71478</v>
      </c>
      <c r="H15" s="12" t="str">
        <f t="shared" si="0"/>
        <v>Williams</v>
      </c>
      <c r="I15" s="12" t="str">
        <f t="shared" si="1"/>
        <v>Chicago</v>
      </c>
    </row>
    <row r="16" spans="1:16" x14ac:dyDescent="0.3">
      <c r="A16">
        <v>990678</v>
      </c>
      <c r="B16" t="s">
        <v>27</v>
      </c>
      <c r="C16" t="s">
        <v>28</v>
      </c>
      <c r="F16">
        <v>110608</v>
      </c>
      <c r="G16" s="7">
        <v>131505</v>
      </c>
      <c r="H16" s="12" t="str">
        <f t="shared" si="0"/>
        <v>Pitt</v>
      </c>
      <c r="I16" s="12" t="str">
        <f t="shared" si="1"/>
        <v>Austin</v>
      </c>
    </row>
    <row r="21" spans="1:3" ht="21" x14ac:dyDescent="0.4">
      <c r="A21" s="10" t="s">
        <v>33</v>
      </c>
      <c r="B21" s="10"/>
      <c r="C21" s="10"/>
    </row>
    <row r="23" spans="1:3" x14ac:dyDescent="0.3">
      <c r="A23" s="1" t="s">
        <v>2</v>
      </c>
      <c r="B23" s="2" t="s">
        <v>31</v>
      </c>
      <c r="C23" s="3" t="s">
        <v>34</v>
      </c>
    </row>
    <row r="24" spans="1:3" x14ac:dyDescent="0.3">
      <c r="A24">
        <v>110608</v>
      </c>
      <c r="B24" t="s">
        <v>35</v>
      </c>
      <c r="C24" t="s">
        <v>36</v>
      </c>
    </row>
    <row r="25" spans="1:3" x14ac:dyDescent="0.3">
      <c r="A25">
        <v>253072</v>
      </c>
      <c r="B25" t="s">
        <v>37</v>
      </c>
      <c r="C25" t="s">
        <v>38</v>
      </c>
    </row>
    <row r="26" spans="1:3" x14ac:dyDescent="0.3">
      <c r="A26">
        <v>352711</v>
      </c>
      <c r="B26" t="s">
        <v>39</v>
      </c>
      <c r="C26" t="s">
        <v>40</v>
      </c>
    </row>
    <row r="27" spans="1:3" x14ac:dyDescent="0.3">
      <c r="A27">
        <v>391006</v>
      </c>
      <c r="B27" t="s">
        <v>37</v>
      </c>
      <c r="C27" t="s">
        <v>38</v>
      </c>
    </row>
    <row r="28" spans="1:3" x14ac:dyDescent="0.3">
      <c r="A28">
        <v>392128</v>
      </c>
      <c r="B28" t="s">
        <v>37</v>
      </c>
      <c r="C28" t="s">
        <v>38</v>
      </c>
    </row>
    <row r="29" spans="1:3" x14ac:dyDescent="0.3">
      <c r="A29">
        <v>549457</v>
      </c>
      <c r="B29" t="s">
        <v>39</v>
      </c>
      <c r="C29" t="s">
        <v>40</v>
      </c>
    </row>
    <row r="30" spans="1:3" x14ac:dyDescent="0.3">
      <c r="A30">
        <v>580622</v>
      </c>
      <c r="B30" t="s">
        <v>35</v>
      </c>
      <c r="C30" t="s">
        <v>36</v>
      </c>
    </row>
    <row r="31" spans="1:3" x14ac:dyDescent="0.3">
      <c r="A31">
        <v>602693</v>
      </c>
      <c r="B31" t="s">
        <v>39</v>
      </c>
      <c r="C31" t="s">
        <v>40</v>
      </c>
    </row>
    <row r="32" spans="1:3" x14ac:dyDescent="0.3">
      <c r="A32">
        <v>611810</v>
      </c>
      <c r="B32" t="s">
        <v>41</v>
      </c>
      <c r="C32" t="s">
        <v>42</v>
      </c>
    </row>
    <row r="33" spans="1:3" x14ac:dyDescent="0.3">
      <c r="A33">
        <v>612235</v>
      </c>
      <c r="B33" t="s">
        <v>39</v>
      </c>
      <c r="C33" t="s">
        <v>40</v>
      </c>
    </row>
    <row r="34" spans="1:3" x14ac:dyDescent="0.3">
      <c r="A34">
        <v>795574</v>
      </c>
      <c r="B34" t="s">
        <v>41</v>
      </c>
      <c r="C34" t="s">
        <v>42</v>
      </c>
    </row>
    <row r="35" spans="1:3" x14ac:dyDescent="0.3">
      <c r="A35">
        <v>830385</v>
      </c>
      <c r="B35" t="s">
        <v>37</v>
      </c>
      <c r="C35" t="s">
        <v>38</v>
      </c>
    </row>
    <row r="36" spans="1:3" x14ac:dyDescent="0.3">
      <c r="A36">
        <v>990678</v>
      </c>
      <c r="B36" t="s">
        <v>41</v>
      </c>
      <c r="C36" t="s">
        <v>42</v>
      </c>
    </row>
  </sheetData>
  <mergeCells count="3">
    <mergeCell ref="A1:C1"/>
    <mergeCell ref="F1:I1"/>
    <mergeCell ref="A21:C2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D9D9D9"/>
  </sheetPr>
  <dimension ref="A1:I36"/>
  <sheetViews>
    <sheetView showGridLines="0" topLeftCell="A3" zoomScaleNormal="100" workbookViewId="0">
      <selection activeCell="I31" sqref="I31"/>
    </sheetView>
  </sheetViews>
  <sheetFormatPr defaultColWidth="8.5546875" defaultRowHeight="14.4" x14ac:dyDescent="0.3"/>
  <cols>
    <col min="1" max="1" width="12.109375" customWidth="1"/>
    <col min="2" max="2" width="10.44140625" customWidth="1"/>
    <col min="3" max="3" width="10.5546875" customWidth="1"/>
    <col min="6" max="6" width="13" customWidth="1"/>
    <col min="7" max="7" width="10.44140625" customWidth="1"/>
    <col min="8" max="9" width="14" customWidth="1"/>
  </cols>
  <sheetData>
    <row r="1" spans="1:9" ht="21" x14ac:dyDescent="0.4">
      <c r="A1" s="10" t="s">
        <v>30</v>
      </c>
      <c r="B1" s="10"/>
      <c r="C1" s="10"/>
      <c r="F1" s="11" t="s">
        <v>1</v>
      </c>
      <c r="G1" s="11"/>
      <c r="H1" s="11"/>
      <c r="I1" s="11"/>
    </row>
    <row r="3" spans="1:9" x14ac:dyDescent="0.3">
      <c r="A3" s="1" t="s">
        <v>2</v>
      </c>
      <c r="B3" s="2" t="s">
        <v>3</v>
      </c>
      <c r="C3" s="3" t="s">
        <v>4</v>
      </c>
      <c r="F3" s="4" t="s">
        <v>2</v>
      </c>
      <c r="G3" s="5" t="s">
        <v>5</v>
      </c>
      <c r="H3" s="5" t="s">
        <v>3</v>
      </c>
      <c r="I3" s="6" t="s">
        <v>31</v>
      </c>
    </row>
    <row r="4" spans="1:9" x14ac:dyDescent="0.3">
      <c r="A4">
        <v>110608</v>
      </c>
      <c r="B4" t="s">
        <v>6</v>
      </c>
      <c r="C4" t="s">
        <v>7</v>
      </c>
      <c r="F4">
        <v>990678</v>
      </c>
      <c r="G4" s="7">
        <v>84289</v>
      </c>
      <c r="H4" s="8" t="str">
        <f t="shared" ref="H4:H16" si="0">VLOOKUP(F4,$A$3:$C$16,2,0)</f>
        <v>Pitt</v>
      </c>
      <c r="I4" s="8" t="str">
        <f t="shared" ref="I4:I16" si="1">VLOOKUP(F4,$A$23:$C$36,2,0)</f>
        <v>Austin</v>
      </c>
    </row>
    <row r="5" spans="1:9" x14ac:dyDescent="0.3">
      <c r="A5">
        <v>253072</v>
      </c>
      <c r="B5" t="s">
        <v>8</v>
      </c>
      <c r="C5" t="s">
        <v>9</v>
      </c>
      <c r="F5">
        <v>830385</v>
      </c>
      <c r="G5" s="7">
        <v>137670</v>
      </c>
      <c r="H5" s="8" t="str">
        <f t="shared" si="0"/>
        <v>Williams</v>
      </c>
      <c r="I5" s="8" t="str">
        <f t="shared" si="1"/>
        <v>Chicago</v>
      </c>
    </row>
    <row r="6" spans="1:9" x14ac:dyDescent="0.3">
      <c r="A6">
        <v>352711</v>
      </c>
      <c r="B6" t="s">
        <v>10</v>
      </c>
      <c r="C6" t="s">
        <v>7</v>
      </c>
      <c r="F6">
        <v>795574</v>
      </c>
      <c r="G6" s="7">
        <v>190024</v>
      </c>
      <c r="H6" s="8" t="str">
        <f t="shared" si="0"/>
        <v>Stark</v>
      </c>
      <c r="I6" s="8" t="str">
        <f t="shared" si="1"/>
        <v>Austin</v>
      </c>
    </row>
    <row r="7" spans="1:9" x14ac:dyDescent="0.3">
      <c r="A7">
        <v>391006</v>
      </c>
      <c r="B7" t="s">
        <v>11</v>
      </c>
      <c r="C7" t="s">
        <v>12</v>
      </c>
      <c r="F7">
        <v>580622</v>
      </c>
      <c r="G7" s="7">
        <v>122604</v>
      </c>
      <c r="H7" s="8" t="str">
        <f t="shared" si="0"/>
        <v>Manning</v>
      </c>
      <c r="I7" s="8" t="str">
        <f t="shared" si="1"/>
        <v>Columbus</v>
      </c>
    </row>
    <row r="8" spans="1:9" x14ac:dyDescent="0.3">
      <c r="A8">
        <v>392128</v>
      </c>
      <c r="B8" t="s">
        <v>13</v>
      </c>
      <c r="C8" t="s">
        <v>14</v>
      </c>
      <c r="F8">
        <v>549457</v>
      </c>
      <c r="G8" s="7">
        <v>111709</v>
      </c>
      <c r="H8" s="8" t="str">
        <f t="shared" si="0"/>
        <v>Elway</v>
      </c>
      <c r="I8" s="8" t="str">
        <f t="shared" si="1"/>
        <v>Tampa Bay</v>
      </c>
    </row>
    <row r="9" spans="1:9" x14ac:dyDescent="0.3">
      <c r="A9">
        <v>549457</v>
      </c>
      <c r="B9" t="s">
        <v>15</v>
      </c>
      <c r="C9" t="s">
        <v>7</v>
      </c>
      <c r="F9">
        <v>392128</v>
      </c>
      <c r="G9" s="7">
        <v>85931</v>
      </c>
      <c r="H9" s="8" t="str">
        <f t="shared" si="0"/>
        <v>Favre</v>
      </c>
      <c r="I9" s="8" t="str">
        <f t="shared" si="1"/>
        <v>Chicago</v>
      </c>
    </row>
    <row r="10" spans="1:9" x14ac:dyDescent="0.3">
      <c r="A10">
        <v>580622</v>
      </c>
      <c r="B10" t="s">
        <v>16</v>
      </c>
      <c r="C10" t="s">
        <v>17</v>
      </c>
      <c r="F10">
        <v>391006</v>
      </c>
      <c r="G10" s="7">
        <v>168114</v>
      </c>
      <c r="H10" s="8" t="str">
        <f t="shared" si="0"/>
        <v>Pan</v>
      </c>
      <c r="I10" s="8" t="str">
        <f t="shared" si="1"/>
        <v>Chicago</v>
      </c>
    </row>
    <row r="11" spans="1:9" x14ac:dyDescent="0.3">
      <c r="A11">
        <v>602693</v>
      </c>
      <c r="B11" t="s">
        <v>18</v>
      </c>
      <c r="C11" t="s">
        <v>19</v>
      </c>
      <c r="F11">
        <v>352711</v>
      </c>
      <c r="G11" s="7">
        <v>89627</v>
      </c>
      <c r="H11" s="8" t="str">
        <f t="shared" si="0"/>
        <v>Smith</v>
      </c>
      <c r="I11" s="8" t="str">
        <f t="shared" si="1"/>
        <v>Tampa Bay</v>
      </c>
    </row>
    <row r="12" spans="1:9" x14ac:dyDescent="0.3">
      <c r="A12">
        <v>611810</v>
      </c>
      <c r="B12" t="s">
        <v>20</v>
      </c>
      <c r="C12" t="s">
        <v>21</v>
      </c>
      <c r="F12">
        <v>253072</v>
      </c>
      <c r="G12" s="7">
        <v>149946</v>
      </c>
      <c r="H12" s="8" t="str">
        <f t="shared" si="0"/>
        <v>Cline</v>
      </c>
      <c r="I12" s="8" t="str">
        <f t="shared" si="1"/>
        <v>Chicago</v>
      </c>
    </row>
    <row r="13" spans="1:9" x14ac:dyDescent="0.3">
      <c r="A13">
        <v>612235</v>
      </c>
      <c r="B13" t="s">
        <v>22</v>
      </c>
      <c r="C13" t="s">
        <v>19</v>
      </c>
      <c r="F13">
        <v>612235</v>
      </c>
      <c r="G13" s="7">
        <v>145893</v>
      </c>
      <c r="H13" s="8" t="str">
        <f t="shared" si="0"/>
        <v>Jordan</v>
      </c>
      <c r="I13" s="8" t="str">
        <f t="shared" si="1"/>
        <v>Tampa Bay</v>
      </c>
    </row>
    <row r="14" spans="1:9" x14ac:dyDescent="0.3">
      <c r="A14">
        <v>795574</v>
      </c>
      <c r="B14" t="s">
        <v>23</v>
      </c>
      <c r="C14" t="s">
        <v>24</v>
      </c>
      <c r="F14">
        <v>611810</v>
      </c>
      <c r="G14" s="7">
        <v>64757</v>
      </c>
      <c r="H14" s="8" t="str">
        <f t="shared" si="0"/>
        <v>Woods</v>
      </c>
      <c r="I14" s="8" t="str">
        <f t="shared" si="1"/>
        <v>Austin</v>
      </c>
    </row>
    <row r="15" spans="1:9" x14ac:dyDescent="0.3">
      <c r="A15">
        <v>830385</v>
      </c>
      <c r="B15" t="s">
        <v>25</v>
      </c>
      <c r="C15" t="s">
        <v>26</v>
      </c>
      <c r="F15">
        <v>602693</v>
      </c>
      <c r="G15" s="7">
        <v>71478</v>
      </c>
      <c r="H15" s="8" t="str">
        <f t="shared" si="0"/>
        <v>Vick</v>
      </c>
      <c r="I15" s="8" t="str">
        <f t="shared" si="1"/>
        <v>Tampa Bay</v>
      </c>
    </row>
    <row r="16" spans="1:9" x14ac:dyDescent="0.3">
      <c r="A16">
        <v>990678</v>
      </c>
      <c r="B16" t="s">
        <v>27</v>
      </c>
      <c r="C16" t="s">
        <v>28</v>
      </c>
      <c r="F16">
        <v>110608</v>
      </c>
      <c r="G16" s="7">
        <v>131505</v>
      </c>
      <c r="H16" s="8" t="str">
        <f t="shared" si="0"/>
        <v>Doe</v>
      </c>
      <c r="I16" s="8" t="str">
        <f t="shared" si="1"/>
        <v>Columbus</v>
      </c>
    </row>
    <row r="21" spans="1:3" ht="21" x14ac:dyDescent="0.4">
      <c r="A21" s="10" t="s">
        <v>33</v>
      </c>
      <c r="B21" s="10"/>
      <c r="C21" s="10"/>
    </row>
    <row r="23" spans="1:3" x14ac:dyDescent="0.3">
      <c r="A23" s="1" t="s">
        <v>2</v>
      </c>
      <c r="B23" s="2" t="s">
        <v>31</v>
      </c>
      <c r="C23" s="3" t="s">
        <v>34</v>
      </c>
    </row>
    <row r="24" spans="1:3" x14ac:dyDescent="0.3">
      <c r="A24">
        <v>110608</v>
      </c>
      <c r="B24" t="s">
        <v>35</v>
      </c>
      <c r="C24" t="s">
        <v>36</v>
      </c>
    </row>
    <row r="25" spans="1:3" x14ac:dyDescent="0.3">
      <c r="A25">
        <v>253072</v>
      </c>
      <c r="B25" t="s">
        <v>37</v>
      </c>
      <c r="C25" t="s">
        <v>38</v>
      </c>
    </row>
    <row r="26" spans="1:3" x14ac:dyDescent="0.3">
      <c r="A26">
        <v>352711</v>
      </c>
      <c r="B26" t="s">
        <v>39</v>
      </c>
      <c r="C26" t="s">
        <v>40</v>
      </c>
    </row>
    <row r="27" spans="1:3" x14ac:dyDescent="0.3">
      <c r="A27">
        <v>391006</v>
      </c>
      <c r="B27" t="s">
        <v>37</v>
      </c>
      <c r="C27" t="s">
        <v>38</v>
      </c>
    </row>
    <row r="28" spans="1:3" x14ac:dyDescent="0.3">
      <c r="A28">
        <v>392128</v>
      </c>
      <c r="B28" t="s">
        <v>37</v>
      </c>
      <c r="C28" t="s">
        <v>38</v>
      </c>
    </row>
    <row r="29" spans="1:3" x14ac:dyDescent="0.3">
      <c r="A29">
        <v>549457</v>
      </c>
      <c r="B29" t="s">
        <v>39</v>
      </c>
      <c r="C29" t="s">
        <v>40</v>
      </c>
    </row>
    <row r="30" spans="1:3" x14ac:dyDescent="0.3">
      <c r="A30">
        <v>580622</v>
      </c>
      <c r="B30" t="s">
        <v>35</v>
      </c>
      <c r="C30" t="s">
        <v>36</v>
      </c>
    </row>
    <row r="31" spans="1:3" x14ac:dyDescent="0.3">
      <c r="A31">
        <v>602693</v>
      </c>
      <c r="B31" t="s">
        <v>39</v>
      </c>
      <c r="C31" t="s">
        <v>40</v>
      </c>
    </row>
    <row r="32" spans="1:3" x14ac:dyDescent="0.3">
      <c r="A32">
        <v>611810</v>
      </c>
      <c r="B32" t="s">
        <v>41</v>
      </c>
      <c r="C32" t="s">
        <v>42</v>
      </c>
    </row>
    <row r="33" spans="1:3" x14ac:dyDescent="0.3">
      <c r="A33">
        <v>612235</v>
      </c>
      <c r="B33" t="s">
        <v>39</v>
      </c>
      <c r="C33" t="s">
        <v>40</v>
      </c>
    </row>
    <row r="34" spans="1:3" x14ac:dyDescent="0.3">
      <c r="A34">
        <v>795574</v>
      </c>
      <c r="B34" t="s">
        <v>41</v>
      </c>
      <c r="C34" t="s">
        <v>42</v>
      </c>
    </row>
    <row r="35" spans="1:3" x14ac:dyDescent="0.3">
      <c r="A35">
        <v>830385</v>
      </c>
      <c r="B35" t="s">
        <v>37</v>
      </c>
      <c r="C35" t="s">
        <v>38</v>
      </c>
    </row>
    <row r="36" spans="1:3" x14ac:dyDescent="0.3">
      <c r="A36">
        <v>990678</v>
      </c>
      <c r="B36" t="s">
        <v>41</v>
      </c>
      <c r="C36" t="s">
        <v>42</v>
      </c>
    </row>
  </sheetData>
  <mergeCells count="3">
    <mergeCell ref="A1:C1"/>
    <mergeCell ref="F1:I1"/>
    <mergeCell ref="A21:C21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AD47"/>
  </sheetPr>
  <dimension ref="A1:M16"/>
  <sheetViews>
    <sheetView showGridLines="0" tabSelected="1" zoomScale="97" zoomScaleNormal="100" workbookViewId="0">
      <selection activeCell="L19" sqref="L19"/>
    </sheetView>
  </sheetViews>
  <sheetFormatPr defaultColWidth="8.5546875" defaultRowHeight="14.4" x14ac:dyDescent="0.3"/>
  <cols>
    <col min="1" max="1" width="12.109375" customWidth="1"/>
    <col min="2" max="2" width="14.44140625" customWidth="1"/>
    <col min="5" max="5" width="13" customWidth="1"/>
    <col min="6" max="6" width="10.44140625" customWidth="1"/>
    <col min="7" max="7" width="14" customWidth="1"/>
  </cols>
  <sheetData>
    <row r="1" spans="1:13" ht="21" x14ac:dyDescent="0.4">
      <c r="A1" s="10" t="s">
        <v>43</v>
      </c>
      <c r="B1" s="10"/>
      <c r="E1" s="11" t="s">
        <v>1</v>
      </c>
      <c r="F1" s="11"/>
      <c r="G1" s="11"/>
    </row>
    <row r="3" spans="1:13" x14ac:dyDescent="0.3">
      <c r="A3" s="1" t="s">
        <v>44</v>
      </c>
      <c r="B3" s="2" t="s">
        <v>45</v>
      </c>
      <c r="E3" s="4" t="s">
        <v>2</v>
      </c>
      <c r="F3" s="5" t="s">
        <v>5</v>
      </c>
      <c r="G3" s="5" t="s">
        <v>45</v>
      </c>
    </row>
    <row r="4" spans="1:13" x14ac:dyDescent="0.3">
      <c r="A4" s="7">
        <v>25000</v>
      </c>
      <c r="B4" t="s">
        <v>46</v>
      </c>
      <c r="E4">
        <v>990678</v>
      </c>
      <c r="F4" s="7">
        <v>84289</v>
      </c>
      <c r="G4" s="12" t="str">
        <f>_xlfn.XLOOKUP(F4,$A$4:$A$8,$B$4:$B$8,"VALUE NOT FOUND",-1)</f>
        <v>Level C</v>
      </c>
    </row>
    <row r="5" spans="1:13" x14ac:dyDescent="0.3">
      <c r="A5" s="7">
        <v>50000</v>
      </c>
      <c r="B5" t="s">
        <v>47</v>
      </c>
      <c r="E5">
        <v>830385</v>
      </c>
      <c r="F5" s="7">
        <v>137670</v>
      </c>
      <c r="G5" s="12" t="str">
        <f t="shared" ref="G5:G16" si="0">_xlfn.XLOOKUP(F5,$A$4:$A$8,$B$4:$B$8,"VALUE NOT FOUND",-1)</f>
        <v>Level D</v>
      </c>
    </row>
    <row r="6" spans="1:13" x14ac:dyDescent="0.3">
      <c r="A6" s="7">
        <v>75000</v>
      </c>
      <c r="B6" t="s">
        <v>48</v>
      </c>
      <c r="E6">
        <v>795574</v>
      </c>
      <c r="F6" s="7">
        <v>190024</v>
      </c>
      <c r="G6" s="12" t="str">
        <f t="shared" si="0"/>
        <v>Level E</v>
      </c>
    </row>
    <row r="7" spans="1:13" x14ac:dyDescent="0.3">
      <c r="A7" s="7">
        <v>100000</v>
      </c>
      <c r="B7" t="s">
        <v>49</v>
      </c>
      <c r="E7">
        <v>580622</v>
      </c>
      <c r="F7" s="7">
        <v>122604</v>
      </c>
      <c r="G7" s="12" t="str">
        <f t="shared" si="0"/>
        <v>Level D</v>
      </c>
      <c r="J7" t="s">
        <v>50</v>
      </c>
    </row>
    <row r="8" spans="1:13" x14ac:dyDescent="0.3">
      <c r="A8" s="7">
        <v>150000</v>
      </c>
      <c r="B8" t="s">
        <v>51</v>
      </c>
      <c r="E8">
        <v>549457</v>
      </c>
      <c r="F8" s="7">
        <v>111709</v>
      </c>
      <c r="G8" s="12" t="str">
        <f t="shared" si="0"/>
        <v>Level D</v>
      </c>
    </row>
    <row r="9" spans="1:13" x14ac:dyDescent="0.3">
      <c r="E9">
        <v>392128</v>
      </c>
      <c r="F9" s="7">
        <v>85931</v>
      </c>
      <c r="G9" s="12" t="str">
        <f t="shared" si="0"/>
        <v>Level C</v>
      </c>
      <c r="K9" s="13" t="s">
        <v>52</v>
      </c>
      <c r="L9" s="14"/>
      <c r="M9" s="14"/>
    </row>
    <row r="10" spans="1:13" x14ac:dyDescent="0.3">
      <c r="E10">
        <v>391006</v>
      </c>
      <c r="F10" s="7">
        <v>168114</v>
      </c>
      <c r="G10" s="12" t="str">
        <f t="shared" si="0"/>
        <v>Level E</v>
      </c>
    </row>
    <row r="11" spans="1:13" x14ac:dyDescent="0.3">
      <c r="E11">
        <v>352711</v>
      </c>
      <c r="F11" s="7">
        <v>89627</v>
      </c>
      <c r="G11" s="12" t="str">
        <f t="shared" si="0"/>
        <v>Level C</v>
      </c>
    </row>
    <row r="12" spans="1:13" x14ac:dyDescent="0.3">
      <c r="E12">
        <v>253072</v>
      </c>
      <c r="F12" s="7">
        <v>149946</v>
      </c>
      <c r="G12" s="12" t="str">
        <f t="shared" si="0"/>
        <v>Level D</v>
      </c>
    </row>
    <row r="13" spans="1:13" x14ac:dyDescent="0.3">
      <c r="E13">
        <v>612235</v>
      </c>
      <c r="F13" s="7">
        <v>145893</v>
      </c>
      <c r="G13" s="12" t="str">
        <f t="shared" si="0"/>
        <v>Level D</v>
      </c>
    </row>
    <row r="14" spans="1:13" x14ac:dyDescent="0.3">
      <c r="E14">
        <v>611810</v>
      </c>
      <c r="F14" s="7">
        <v>64757</v>
      </c>
      <c r="G14" s="12" t="str">
        <f t="shared" si="0"/>
        <v>Level B</v>
      </c>
    </row>
    <row r="15" spans="1:13" x14ac:dyDescent="0.3">
      <c r="E15">
        <v>602693</v>
      </c>
      <c r="F15" s="7">
        <v>71478</v>
      </c>
      <c r="G15" s="12" t="str">
        <f t="shared" si="0"/>
        <v>Level B</v>
      </c>
    </row>
    <row r="16" spans="1:13" x14ac:dyDescent="0.3">
      <c r="E16">
        <v>110608</v>
      </c>
      <c r="F16" s="7">
        <v>131505</v>
      </c>
      <c r="G16" s="12" t="str">
        <f t="shared" si="0"/>
        <v>Level D</v>
      </c>
    </row>
  </sheetData>
  <mergeCells count="2">
    <mergeCell ref="A1:B1"/>
    <mergeCell ref="E1:G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D9D9D9"/>
  </sheetPr>
  <dimension ref="A1:G16"/>
  <sheetViews>
    <sheetView showGridLines="0" zoomScaleNormal="100" workbookViewId="0">
      <selection activeCell="I31" sqref="I31"/>
    </sheetView>
  </sheetViews>
  <sheetFormatPr defaultColWidth="8.5546875" defaultRowHeight="14.4" x14ac:dyDescent="0.3"/>
  <cols>
    <col min="1" max="1" width="12.109375" customWidth="1"/>
    <col min="2" max="2" width="14.44140625" customWidth="1"/>
    <col min="5" max="5" width="13" customWidth="1"/>
    <col min="6" max="6" width="10.44140625" customWidth="1"/>
    <col min="7" max="7" width="14" customWidth="1"/>
  </cols>
  <sheetData>
    <row r="1" spans="1:7" ht="21" x14ac:dyDescent="0.4">
      <c r="A1" s="10" t="s">
        <v>43</v>
      </c>
      <c r="B1" s="10"/>
      <c r="E1" s="11" t="s">
        <v>1</v>
      </c>
      <c r="F1" s="11"/>
      <c r="G1" s="11"/>
    </row>
    <row r="3" spans="1:7" x14ac:dyDescent="0.3">
      <c r="A3" s="1" t="s">
        <v>44</v>
      </c>
      <c r="B3" s="2" t="s">
        <v>45</v>
      </c>
      <c r="E3" s="4" t="s">
        <v>2</v>
      </c>
      <c r="F3" s="5" t="s">
        <v>5</v>
      </c>
      <c r="G3" s="5" t="s">
        <v>45</v>
      </c>
    </row>
    <row r="4" spans="1:7" x14ac:dyDescent="0.3">
      <c r="A4" s="7">
        <v>25000</v>
      </c>
      <c r="B4" t="s">
        <v>46</v>
      </c>
      <c r="E4">
        <v>990678</v>
      </c>
      <c r="F4" s="7">
        <v>84289</v>
      </c>
      <c r="G4" s="8" t="str">
        <f t="shared" ref="G4:G16" si="0">VLOOKUP(F4,$A$3:$B$8,2,TRUE())</f>
        <v>Level C</v>
      </c>
    </row>
    <row r="5" spans="1:7" x14ac:dyDescent="0.3">
      <c r="A5" s="7">
        <v>50000</v>
      </c>
      <c r="B5" t="s">
        <v>47</v>
      </c>
      <c r="E5">
        <v>830385</v>
      </c>
      <c r="F5" s="7">
        <v>137670</v>
      </c>
      <c r="G5" s="8" t="str">
        <f t="shared" si="0"/>
        <v>Level D</v>
      </c>
    </row>
    <row r="6" spans="1:7" x14ac:dyDescent="0.3">
      <c r="A6" s="7">
        <v>75000</v>
      </c>
      <c r="B6" t="s">
        <v>48</v>
      </c>
      <c r="E6">
        <v>795574</v>
      </c>
      <c r="F6" s="7">
        <v>190024</v>
      </c>
      <c r="G6" s="8" t="str">
        <f t="shared" si="0"/>
        <v>Level E</v>
      </c>
    </row>
    <row r="7" spans="1:7" x14ac:dyDescent="0.3">
      <c r="A7" s="7">
        <v>100000</v>
      </c>
      <c r="B7" t="s">
        <v>49</v>
      </c>
      <c r="E7">
        <v>580622</v>
      </c>
      <c r="F7" s="7">
        <v>122604</v>
      </c>
      <c r="G7" s="8" t="str">
        <f t="shared" si="0"/>
        <v>Level D</v>
      </c>
    </row>
    <row r="8" spans="1:7" x14ac:dyDescent="0.3">
      <c r="A8" s="7">
        <v>150000</v>
      </c>
      <c r="B8" t="s">
        <v>51</v>
      </c>
      <c r="E8">
        <v>549457</v>
      </c>
      <c r="F8" s="7">
        <v>111709</v>
      </c>
      <c r="G8" s="8" t="str">
        <f t="shared" si="0"/>
        <v>Level D</v>
      </c>
    </row>
    <row r="9" spans="1:7" x14ac:dyDescent="0.3">
      <c r="E9">
        <v>392128</v>
      </c>
      <c r="F9" s="7">
        <v>85931</v>
      </c>
      <c r="G9" s="8" t="str">
        <f t="shared" si="0"/>
        <v>Level C</v>
      </c>
    </row>
    <row r="10" spans="1:7" x14ac:dyDescent="0.3">
      <c r="E10">
        <v>391006</v>
      </c>
      <c r="F10" s="7">
        <v>168114</v>
      </c>
      <c r="G10" s="8" t="str">
        <f t="shared" si="0"/>
        <v>Level E</v>
      </c>
    </row>
    <row r="11" spans="1:7" x14ac:dyDescent="0.3">
      <c r="E11">
        <v>352711</v>
      </c>
      <c r="F11" s="7">
        <v>89627</v>
      </c>
      <c r="G11" s="8" t="str">
        <f t="shared" si="0"/>
        <v>Level C</v>
      </c>
    </row>
    <row r="12" spans="1:7" x14ac:dyDescent="0.3">
      <c r="E12">
        <v>253072</v>
      </c>
      <c r="F12" s="7">
        <v>149946</v>
      </c>
      <c r="G12" s="8" t="str">
        <f t="shared" si="0"/>
        <v>Level D</v>
      </c>
    </row>
    <row r="13" spans="1:7" x14ac:dyDescent="0.3">
      <c r="E13">
        <v>612235</v>
      </c>
      <c r="F13" s="7">
        <v>145893</v>
      </c>
      <c r="G13" s="8" t="str">
        <f t="shared" si="0"/>
        <v>Level D</v>
      </c>
    </row>
    <row r="14" spans="1:7" x14ac:dyDescent="0.3">
      <c r="E14">
        <v>611810</v>
      </c>
      <c r="F14" s="7">
        <v>64757</v>
      </c>
      <c r="G14" s="8" t="str">
        <f t="shared" si="0"/>
        <v>Level B</v>
      </c>
    </row>
    <row r="15" spans="1:7" x14ac:dyDescent="0.3">
      <c r="E15">
        <v>602693</v>
      </c>
      <c r="F15" s="7">
        <v>71478</v>
      </c>
      <c r="G15" s="8" t="str">
        <f t="shared" si="0"/>
        <v>Level B</v>
      </c>
    </row>
    <row r="16" spans="1:7" x14ac:dyDescent="0.3">
      <c r="E16">
        <v>110608</v>
      </c>
      <c r="F16" s="7">
        <v>131505</v>
      </c>
      <c r="G16" s="8" t="str">
        <f t="shared" si="0"/>
        <v>Level D</v>
      </c>
    </row>
  </sheetData>
  <mergeCells count="2">
    <mergeCell ref="A1:B1"/>
    <mergeCell ref="E1:G1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Example 1</vt:lpstr>
      <vt:lpstr>Example 1 (Solution)</vt:lpstr>
      <vt:lpstr>Example 2</vt:lpstr>
      <vt:lpstr>Example 2 (Solution)</vt:lpstr>
      <vt:lpstr>Example 3</vt:lpstr>
      <vt:lpstr>Example 3 (Solution)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 Newman</dc:creator>
  <cp:keywords/>
  <dc:description/>
  <cp:lastModifiedBy>Dhanush V</cp:lastModifiedBy>
  <cp:revision>0</cp:revision>
  <dcterms:created xsi:type="dcterms:W3CDTF">2022-06-09T01:13:09Z</dcterms:created>
  <dcterms:modified xsi:type="dcterms:W3CDTF">2026-07-02T05:24:03Z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67a5d4c-6e68-416c-b53b-e38e179fc32e_ActionId">
    <vt:lpwstr>3b69e5fb-c32f-434b-8e05-f1dc29bab916</vt:lpwstr>
  </property>
  <property fmtid="{D5CDD505-2E9C-101B-9397-08002B2CF9AE}" pid="3" name="MSIP_Label_767a5d4c-6e68-416c-b53b-e38e179fc32e_ContentBits">
    <vt:lpwstr>0</vt:lpwstr>
  </property>
  <property fmtid="{D5CDD505-2E9C-101B-9397-08002B2CF9AE}" pid="4" name="MSIP_Label_767a5d4c-6e68-416c-b53b-e38e179fc32e_Enabled">
    <vt:lpwstr>true</vt:lpwstr>
  </property>
  <property fmtid="{D5CDD505-2E9C-101B-9397-08002B2CF9AE}" pid="5" name="MSIP_Label_767a5d4c-6e68-416c-b53b-e38e179fc32e_Method">
    <vt:lpwstr>Standard</vt:lpwstr>
  </property>
  <property fmtid="{D5CDD505-2E9C-101B-9397-08002B2CF9AE}" pid="6" name="MSIP_Label_767a5d4c-6e68-416c-b53b-e38e179fc32e_Name">
    <vt:lpwstr>Private</vt:lpwstr>
  </property>
  <property fmtid="{D5CDD505-2E9C-101B-9397-08002B2CF9AE}" pid="7" name="MSIP_Label_767a5d4c-6e68-416c-b53b-e38e179fc32e_SetDate">
    <vt:lpwstr>2023-03-06T08:09:01Z</vt:lpwstr>
  </property>
  <property fmtid="{D5CDD505-2E9C-101B-9397-08002B2CF9AE}" pid="8" name="MSIP_Label_767a5d4c-6e68-416c-b53b-e38e179fc32e_SiteId">
    <vt:lpwstr>f4db3ffa-dfb1-4f2d-8ade-468d458e11c2</vt:lpwstr>
  </property>
</Properties>
</file>