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science &amp; AI course\Excel_course\"/>
    </mc:Choice>
  </mc:AlternateContent>
  <xr:revisionPtr revIDLastSave="0" documentId="8_{F0F649EF-1632-4583-BCD8-C0E36351D6FD}" xr6:coauthVersionLast="47" xr6:coauthVersionMax="47" xr10:uidLastSave="{00000000-0000-0000-0000-000000000000}"/>
  <bookViews>
    <workbookView xWindow="-108" yWindow="-108" windowWidth="23256" windowHeight="12456" xr2:uid="{59CCE7FC-657C-46D4-844C-F4FCFA5774E0}"/>
  </bookViews>
  <sheets>
    <sheet name="TASK_1" sheetId="1" r:id="rId1"/>
  </sheets>
  <definedNames>
    <definedName name="TRIP" comment="TRIP SHEETS">TASK_1!$G$7:$M$22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0" i="1" l="1"/>
  <c r="O11" i="1"/>
  <c r="O12" i="1"/>
  <c r="O13" i="1"/>
  <c r="O14" i="1"/>
  <c r="N10" i="1"/>
  <c r="N11" i="1"/>
  <c r="N12" i="1"/>
  <c r="N13" i="1"/>
  <c r="N14" i="1"/>
</calcChain>
</file>

<file path=xl/sharedStrings.xml><?xml version="1.0" encoding="utf-8"?>
<sst xmlns="http://schemas.openxmlformats.org/spreadsheetml/2006/main" count="23" uniqueCount="23">
  <si>
    <t>DEPATURE_DATE</t>
  </si>
  <si>
    <t>RETURN_DATE</t>
  </si>
  <si>
    <t>BUDGET</t>
  </si>
  <si>
    <t>GOA</t>
  </si>
  <si>
    <t>FLIGHT_TICKET</t>
  </si>
  <si>
    <t>DESTITAION</t>
  </si>
  <si>
    <t>HOTEL_NAME</t>
  </si>
  <si>
    <t>S.NO</t>
  </si>
  <si>
    <t>THAILAND</t>
  </si>
  <si>
    <t>YALA PEAK</t>
  </si>
  <si>
    <t>BALI</t>
  </si>
  <si>
    <t>EVITEL RESORT UBUD</t>
  </si>
  <si>
    <t>KERALA</t>
  </si>
  <si>
    <t>BELLMOUNT RESORT</t>
  </si>
  <si>
    <t>TREE HOUSE NOVA</t>
  </si>
  <si>
    <t>VIETNAM</t>
  </si>
  <si>
    <t xml:space="preserve">GREEN APPLE </t>
  </si>
  <si>
    <t xml:space="preserve">                TRIP PLANNER TABLE</t>
  </si>
  <si>
    <t>GST(18%)</t>
  </si>
  <si>
    <t>TOTAL BUDGET (Incuding GST)</t>
  </si>
  <si>
    <t xml:space="preserve">GST </t>
  </si>
  <si>
    <r>
      <rPr>
        <b/>
        <sz val="12"/>
        <color theme="1"/>
        <rFont val="Aptos Narrow"/>
        <family val="2"/>
        <scheme val="minor"/>
      </rPr>
      <t>ABSOLUTE REFERENCE :</t>
    </r>
    <r>
      <rPr>
        <sz val="12"/>
        <color theme="1"/>
        <rFont val="Aptos Narrow"/>
        <family val="2"/>
        <scheme val="minor"/>
      </rPr>
      <t xml:space="preserve"> = </t>
    </r>
    <r>
      <rPr>
        <b/>
        <sz val="12"/>
        <color rgb="FFC00000"/>
        <rFont val="Aptos Narrow"/>
        <family val="2"/>
        <scheme val="minor"/>
      </rPr>
      <t>[@BUDGET]*$N$8</t>
    </r>
  </si>
  <si>
    <r>
      <rPr>
        <b/>
        <sz val="12"/>
        <color theme="1"/>
        <rFont val="Aptos Narrow"/>
        <family val="2"/>
        <scheme val="minor"/>
      </rPr>
      <t xml:space="preserve">RELATIVE REFERENCE : 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rgb="FFC00000"/>
        <rFont val="Aptos Narrow"/>
        <family val="2"/>
        <scheme val="minor"/>
      </rPr>
      <t>= [@BUDGET]+[@[GST(18%)]]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</si>
</sst>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[$-F800]dddd\,\ mmmm\ dd\,\ yyyy"/>
    <numFmt numFmtId="165" formatCode="&quot;₹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24"/>
      <color theme="1" tint="4.9989318521683403E-2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0" fontId="4" fillId="0" borderId="0" xfId="0" applyFont="1"/>
    <xf numFmtId="165" fontId="2" fillId="0" borderId="0" xfId="1" applyNumberFormat="1" applyFont="1"/>
    <xf numFmtId="9" fontId="3" fillId="2" borderId="0" xfId="0" applyNumberFormat="1" applyFont="1" applyFill="1"/>
    <xf numFmtId="0" fontId="6" fillId="0" borderId="0" xfId="0" applyFont="1"/>
    <xf numFmtId="165" fontId="2" fillId="3" borderId="0" xfId="0" applyNumberFormat="1" applyFont="1" applyFill="1"/>
    <xf numFmtId="165" fontId="2" fillId="4" borderId="0" xfId="0" applyNumberFormat="1" applyFont="1" applyFill="1"/>
    <xf numFmtId="165" fontId="2" fillId="5" borderId="0" xfId="1" applyNumberFormat="1" applyFont="1" applyFill="1"/>
    <xf numFmtId="0" fontId="3" fillId="5" borderId="0" xfId="0" applyFont="1" applyFill="1"/>
    <xf numFmtId="0" fontId="8" fillId="4" borderId="0" xfId="0" applyFont="1" applyFill="1"/>
    <xf numFmtId="0" fontId="9" fillId="4" borderId="0" xfId="0" applyFont="1" applyFill="1"/>
  </cellXfs>
  <cellStyles count="2">
    <cellStyle name="Currency" xfId="1" builtinId="4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5" formatCode="&quot;₹&quot;\ #,##0.00"/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5" formatCode="&quot;₹&quot;\ #,##0.00"/>
      <fill>
        <patternFill patternType="solid">
          <fgColor indexed="64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5" formatCode="&quot;₹&quot;\ #,##0.00"/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5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[$-F800]dddd\,\ mmmm\ dd\,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[$-F800]dddd\,\ mmmm\ dd\,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D18A35-E971-42A0-A30D-1D4A0C4F3D71}" name="Table1" displayName="Table1" ref="G9:O14" totalsRowShown="0" headerRowDxfId="10" dataDxfId="9">
  <autoFilter ref="G9:O14" xr:uid="{18D18A35-E971-42A0-A30D-1D4A0C4F3D71}"/>
  <tableColumns count="9">
    <tableColumn id="1" xr3:uid="{4CF181DC-0E43-4E7E-ABC0-04391A730F63}" name="S.NO" dataDxfId="8"/>
    <tableColumn id="2" xr3:uid="{5C309CF4-C9A1-4D02-9835-4A925EEBDA98}" name="DESTITAION" dataDxfId="7"/>
    <tableColumn id="3" xr3:uid="{B3C87FD9-15DF-467A-84B5-215424AEBBE2}" name="DEPATURE_DATE" dataDxfId="6"/>
    <tableColumn id="4" xr3:uid="{70C0A02E-4218-4257-BEE8-77EB0BB9A842}" name="RETURN_DATE" dataDxfId="5"/>
    <tableColumn id="5" xr3:uid="{42C71CE3-E121-4DBB-956F-44E0BF7BD3B0}" name="FLIGHT_TICKET" dataDxfId="4" dataCellStyle="Currency"/>
    <tableColumn id="6" xr3:uid="{811AF907-39AB-406D-A751-E7843FD0FCE4}" name="HOTEL_NAME" dataDxfId="3"/>
    <tableColumn id="7" xr3:uid="{E5F61CC5-C6D2-44CA-A8FC-FC67664C4AF7}" name="BUDGET" dataDxfId="2"/>
    <tableColumn id="8" xr3:uid="{4DBD2F77-3F47-4812-9CFD-11C6627E3714}" name="GST(18%)" dataDxfId="1" dataCellStyle="Currency">
      <calculatedColumnFormula>Table1[[#This Row],[BUDGET]]*$N$8</calculatedColumnFormula>
    </tableColumn>
    <tableColumn id="9" xr3:uid="{B50EF5BE-239C-4380-993D-29346D5D74E0}" name="TOTAL BUDGET (Incuding GST)" dataDxfId="0">
      <calculatedColumnFormula>Table1[[#This Row],[BUDGET]]+Table1[[#This Row],[GST(18%)]]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197E-96F1-49FC-A67B-504CA2714A1F}">
  <dimension ref="G4:O15"/>
  <sheetViews>
    <sheetView tabSelected="1" topLeftCell="F1" zoomScaleNormal="100" workbookViewId="0">
      <selection activeCell="H20" sqref="H20"/>
    </sheetView>
  </sheetViews>
  <sheetFormatPr defaultRowHeight="14.4" x14ac:dyDescent="0.3"/>
  <cols>
    <col min="7" max="7" width="12.5546875" customWidth="1"/>
    <col min="8" max="8" width="16.6640625" customWidth="1"/>
    <col min="9" max="9" width="21.88671875" customWidth="1"/>
    <col min="10" max="10" width="19.109375" customWidth="1"/>
    <col min="11" max="11" width="20" customWidth="1"/>
    <col min="12" max="12" width="24" customWidth="1"/>
    <col min="13" max="13" width="19.21875" customWidth="1"/>
    <col min="14" max="14" width="23" customWidth="1"/>
    <col min="15" max="15" width="35.5546875" customWidth="1"/>
  </cols>
  <sheetData>
    <row r="4" spans="7:15" ht="31.2" x14ac:dyDescent="0.6">
      <c r="G4" s="4"/>
      <c r="K4" s="12" t="s">
        <v>17</v>
      </c>
      <c r="L4" s="13"/>
      <c r="M4" s="13"/>
    </row>
    <row r="6" spans="7:15" ht="15.6" x14ac:dyDescent="0.3">
      <c r="L6" s="7" t="s">
        <v>21</v>
      </c>
      <c r="M6" s="7"/>
      <c r="N6" s="7" t="s">
        <v>22</v>
      </c>
      <c r="O6" s="7"/>
    </row>
    <row r="8" spans="7:15" ht="18" x14ac:dyDescent="0.35">
      <c r="G8" s="1"/>
      <c r="H8" s="1"/>
      <c r="I8" s="1"/>
      <c r="J8" s="1"/>
      <c r="K8" s="1"/>
      <c r="L8" s="1"/>
      <c r="M8" s="11" t="s">
        <v>20</v>
      </c>
      <c r="N8" s="6">
        <v>0.18</v>
      </c>
    </row>
    <row r="9" spans="7:15" ht="18" x14ac:dyDescent="0.35">
      <c r="G9" s="1" t="s">
        <v>7</v>
      </c>
      <c r="H9" s="2" t="s">
        <v>5</v>
      </c>
      <c r="I9" s="2" t="s">
        <v>0</v>
      </c>
      <c r="J9" s="2" t="s">
        <v>1</v>
      </c>
      <c r="K9" s="2" t="s">
        <v>4</v>
      </c>
      <c r="L9" s="2" t="s">
        <v>6</v>
      </c>
      <c r="M9" s="2" t="s">
        <v>2</v>
      </c>
      <c r="N9" s="2" t="s">
        <v>18</v>
      </c>
      <c r="O9" s="2" t="s">
        <v>19</v>
      </c>
    </row>
    <row r="10" spans="7:15" ht="18" x14ac:dyDescent="0.35">
      <c r="G10" s="1">
        <v>1</v>
      </c>
      <c r="H10" s="1" t="s">
        <v>3</v>
      </c>
      <c r="I10" s="3">
        <v>46179</v>
      </c>
      <c r="J10" s="3">
        <v>46189</v>
      </c>
      <c r="K10" s="5">
        <v>4000</v>
      </c>
      <c r="L10" s="1" t="s">
        <v>14</v>
      </c>
      <c r="M10" s="8">
        <v>10000</v>
      </c>
      <c r="N10" s="10">
        <f>Table1[[#This Row],[BUDGET]]*$N$8</f>
        <v>1800</v>
      </c>
      <c r="O10" s="9">
        <f>Table1[[#This Row],[BUDGET]]+Table1[[#This Row],[GST(18%)]]</f>
        <v>11800</v>
      </c>
    </row>
    <row r="11" spans="7:15" ht="18" x14ac:dyDescent="0.35">
      <c r="G11" s="1">
        <v>2</v>
      </c>
      <c r="H11" s="1" t="s">
        <v>12</v>
      </c>
      <c r="I11" s="3">
        <v>46190</v>
      </c>
      <c r="J11" s="3">
        <v>46200</v>
      </c>
      <c r="K11" s="5">
        <v>5000</v>
      </c>
      <c r="L11" s="1" t="s">
        <v>13</v>
      </c>
      <c r="M11" s="8">
        <v>20000</v>
      </c>
      <c r="N11" s="10">
        <f>Table1[[#This Row],[BUDGET]]*$N$8</f>
        <v>3600</v>
      </c>
      <c r="O11" s="9">
        <f>Table1[[#This Row],[BUDGET]]+Table1[[#This Row],[GST(18%)]]</f>
        <v>23600</v>
      </c>
    </row>
    <row r="12" spans="7:15" ht="18" x14ac:dyDescent="0.35">
      <c r="G12" s="1">
        <v>3</v>
      </c>
      <c r="H12" s="1" t="s">
        <v>8</v>
      </c>
      <c r="I12" s="3">
        <v>46201</v>
      </c>
      <c r="J12" s="3">
        <v>46205</v>
      </c>
      <c r="K12" s="5">
        <v>18000</v>
      </c>
      <c r="L12" s="1" t="s">
        <v>9</v>
      </c>
      <c r="M12" s="8">
        <v>40000</v>
      </c>
      <c r="N12" s="10">
        <f>Table1[[#This Row],[BUDGET]]*$N$8</f>
        <v>7200</v>
      </c>
      <c r="O12" s="9">
        <f>Table1[[#This Row],[BUDGET]]+Table1[[#This Row],[GST(18%)]]</f>
        <v>47200</v>
      </c>
    </row>
    <row r="13" spans="7:15" ht="18" x14ac:dyDescent="0.35">
      <c r="G13" s="1">
        <v>4</v>
      </c>
      <c r="H13" s="1" t="s">
        <v>10</v>
      </c>
      <c r="I13" s="3">
        <v>46176</v>
      </c>
      <c r="J13" s="3">
        <v>46208</v>
      </c>
      <c r="K13" s="5">
        <v>25000</v>
      </c>
      <c r="L13" s="1" t="s">
        <v>11</v>
      </c>
      <c r="M13" s="8">
        <v>50000</v>
      </c>
      <c r="N13" s="10">
        <f>Table1[[#This Row],[BUDGET]]*$N$8</f>
        <v>9000</v>
      </c>
      <c r="O13" s="9">
        <f>Table1[[#This Row],[BUDGET]]+Table1[[#This Row],[GST(18%)]]</f>
        <v>59000</v>
      </c>
    </row>
    <row r="14" spans="7:15" ht="18" x14ac:dyDescent="0.35">
      <c r="G14" s="1">
        <v>5</v>
      </c>
      <c r="H14" s="1" t="s">
        <v>15</v>
      </c>
      <c r="I14" s="3">
        <v>46209</v>
      </c>
      <c r="J14" s="3">
        <v>46215</v>
      </c>
      <c r="K14" s="5">
        <v>30000</v>
      </c>
      <c r="L14" s="1" t="s">
        <v>16</v>
      </c>
      <c r="M14" s="8">
        <v>60000</v>
      </c>
      <c r="N14" s="10">
        <f>Table1[[#This Row],[BUDGET]]*$N$8</f>
        <v>10800</v>
      </c>
      <c r="O14" s="9">
        <f>Table1[[#This Row],[BUDGET]]+Table1[[#This Row],[GST(18%)]]</f>
        <v>70800</v>
      </c>
    </row>
    <row r="15" spans="7:15" ht="18" x14ac:dyDescent="0.35">
      <c r="G15" s="1"/>
      <c r="H15" s="1"/>
      <c r="I15" s="1"/>
      <c r="J15" s="1"/>
      <c r="K15" s="1"/>
      <c r="L15" s="1"/>
      <c r="M15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TASK_1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s</dc:creator>
  <cp:lastModifiedBy>Dhanush V</cp:lastModifiedBy>
  <dcterms:created xsi:type="dcterms:W3CDTF">2026-06-29T04:30:57Z</dcterms:created>
  <dcterms:modified xsi:type="dcterms:W3CDTF">2026-06-29T12:16:18Z</dcterms:modified>
</cp:coreProperties>
</file>